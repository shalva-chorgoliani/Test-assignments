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happy_unic0rn/Desktop/"/>
    </mc:Choice>
  </mc:AlternateContent>
  <xr:revisionPtr revIDLastSave="0" documentId="8_{28BCB313-DA34-894F-A5C3-D230B9E1C54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ssumptions" sheetId="4" r:id="rId1"/>
    <sheet name="PnL" sheetId="2" r:id="rId2"/>
    <sheet name="Sales and Customer Acquisition " sheetId="3" r:id="rId3"/>
    <sheet name="COGS" sheetId="6" r:id="rId4"/>
    <sheet name="OpEx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" l="1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C41" i="2"/>
  <c r="H42" i="2"/>
  <c r="D42" i="2"/>
  <c r="E42" i="2"/>
  <c r="F42" i="2"/>
  <c r="G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C42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C44" i="2"/>
  <c r="E43" i="2"/>
  <c r="D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C43" i="2"/>
  <c r="C7" i="3"/>
  <c r="C10" i="3" s="1"/>
  <c r="C11" i="3"/>
  <c r="C14" i="3" s="1"/>
  <c r="C25" i="3" s="1"/>
  <c r="C17" i="3"/>
  <c r="I11" i="4"/>
  <c r="D17" i="7"/>
  <c r="D31" i="2" s="1"/>
  <c r="E17" i="7"/>
  <c r="E31" i="2" s="1"/>
  <c r="F17" i="7"/>
  <c r="F31" i="2" s="1"/>
  <c r="G17" i="7"/>
  <c r="G31" i="2" s="1"/>
  <c r="H17" i="7"/>
  <c r="H31" i="2" s="1"/>
  <c r="I17" i="7"/>
  <c r="I31" i="2" s="1"/>
  <c r="J17" i="7"/>
  <c r="J31" i="2" s="1"/>
  <c r="K17" i="7"/>
  <c r="K31" i="2" s="1"/>
  <c r="L17" i="7"/>
  <c r="L31" i="2" s="1"/>
  <c r="M17" i="7"/>
  <c r="M31" i="2" s="1"/>
  <c r="N17" i="7"/>
  <c r="N31" i="2" s="1"/>
  <c r="O17" i="7"/>
  <c r="O31" i="2" s="1"/>
  <c r="P17" i="7"/>
  <c r="P31" i="2" s="1"/>
  <c r="Q17" i="7"/>
  <c r="Q31" i="2" s="1"/>
  <c r="R17" i="7"/>
  <c r="R31" i="2" s="1"/>
  <c r="S17" i="7"/>
  <c r="S31" i="2" s="1"/>
  <c r="T17" i="7"/>
  <c r="T31" i="2" s="1"/>
  <c r="U17" i="7"/>
  <c r="U31" i="2" s="1"/>
  <c r="V17" i="7"/>
  <c r="V31" i="2" s="1"/>
  <c r="W17" i="7"/>
  <c r="W31" i="2" s="1"/>
  <c r="X17" i="7"/>
  <c r="X31" i="2" s="1"/>
  <c r="Y17" i="7"/>
  <c r="Y31" i="2" s="1"/>
  <c r="Z17" i="7"/>
  <c r="Z31" i="2" s="1"/>
  <c r="AA17" i="7"/>
  <c r="AA31" i="2" s="1"/>
  <c r="AB17" i="7"/>
  <c r="AB31" i="2" s="1"/>
  <c r="AC17" i="7"/>
  <c r="AC31" i="2" s="1"/>
  <c r="AD17" i="7"/>
  <c r="AD31" i="2" s="1"/>
  <c r="AE17" i="7"/>
  <c r="AE31" i="2" s="1"/>
  <c r="AF17" i="7"/>
  <c r="AF31" i="2" s="1"/>
  <c r="AG17" i="7"/>
  <c r="AG31" i="2" s="1"/>
  <c r="AH17" i="7"/>
  <c r="AH31" i="2" s="1"/>
  <c r="AI17" i="7"/>
  <c r="AI31" i="2" s="1"/>
  <c r="AJ17" i="7"/>
  <c r="AJ31" i="2" s="1"/>
  <c r="AK17" i="7"/>
  <c r="AK31" i="2" s="1"/>
  <c r="AL17" i="7"/>
  <c r="AL31" i="2" s="1"/>
  <c r="C17" i="7"/>
  <c r="C31" i="2" s="1"/>
  <c r="D16" i="7"/>
  <c r="D30" i="2" s="1"/>
  <c r="E16" i="7"/>
  <c r="E30" i="2" s="1"/>
  <c r="F16" i="7"/>
  <c r="F30" i="2" s="1"/>
  <c r="G16" i="7"/>
  <c r="G30" i="2" s="1"/>
  <c r="H16" i="7"/>
  <c r="H30" i="2" s="1"/>
  <c r="I16" i="7"/>
  <c r="I30" i="2" s="1"/>
  <c r="J16" i="7"/>
  <c r="J30" i="2" s="1"/>
  <c r="K16" i="7"/>
  <c r="K30" i="2" s="1"/>
  <c r="L16" i="7"/>
  <c r="L30" i="2" s="1"/>
  <c r="M16" i="7"/>
  <c r="M30" i="2" s="1"/>
  <c r="N16" i="7"/>
  <c r="N30" i="2" s="1"/>
  <c r="O16" i="7"/>
  <c r="O30" i="2" s="1"/>
  <c r="P16" i="7"/>
  <c r="P30" i="2" s="1"/>
  <c r="Q16" i="7"/>
  <c r="Q30" i="2" s="1"/>
  <c r="R16" i="7"/>
  <c r="R30" i="2" s="1"/>
  <c r="S16" i="7"/>
  <c r="S30" i="2" s="1"/>
  <c r="T16" i="7"/>
  <c r="T30" i="2" s="1"/>
  <c r="U16" i="7"/>
  <c r="U30" i="2" s="1"/>
  <c r="V16" i="7"/>
  <c r="V30" i="2" s="1"/>
  <c r="W16" i="7"/>
  <c r="W30" i="2" s="1"/>
  <c r="X16" i="7"/>
  <c r="X30" i="2" s="1"/>
  <c r="Y16" i="7"/>
  <c r="Y30" i="2" s="1"/>
  <c r="Z16" i="7"/>
  <c r="Z30" i="2" s="1"/>
  <c r="AA16" i="7"/>
  <c r="AA30" i="2" s="1"/>
  <c r="AB16" i="7"/>
  <c r="AB30" i="2" s="1"/>
  <c r="AC16" i="7"/>
  <c r="AC30" i="2" s="1"/>
  <c r="AD16" i="7"/>
  <c r="AD30" i="2" s="1"/>
  <c r="AE16" i="7"/>
  <c r="AE30" i="2" s="1"/>
  <c r="AF16" i="7"/>
  <c r="AF30" i="2" s="1"/>
  <c r="AG16" i="7"/>
  <c r="AG30" i="2" s="1"/>
  <c r="AH16" i="7"/>
  <c r="AH30" i="2" s="1"/>
  <c r="AI16" i="7"/>
  <c r="AI30" i="2" s="1"/>
  <c r="AJ16" i="7"/>
  <c r="AJ30" i="2" s="1"/>
  <c r="AK16" i="7"/>
  <c r="AK30" i="2" s="1"/>
  <c r="AL16" i="7"/>
  <c r="AL30" i="2" s="1"/>
  <c r="C16" i="7"/>
  <c r="C30" i="2" s="1"/>
  <c r="D15" i="7"/>
  <c r="D29" i="2" s="1"/>
  <c r="E15" i="7"/>
  <c r="E29" i="2" s="1"/>
  <c r="F15" i="7"/>
  <c r="F29" i="2" s="1"/>
  <c r="G15" i="7"/>
  <c r="G29" i="2" s="1"/>
  <c r="H15" i="7"/>
  <c r="H29" i="2" s="1"/>
  <c r="I15" i="7"/>
  <c r="I29" i="2" s="1"/>
  <c r="J15" i="7"/>
  <c r="J29" i="2" s="1"/>
  <c r="K15" i="7"/>
  <c r="K29" i="2" s="1"/>
  <c r="L15" i="7"/>
  <c r="L29" i="2" s="1"/>
  <c r="M15" i="7"/>
  <c r="M29" i="2" s="1"/>
  <c r="N15" i="7"/>
  <c r="N29" i="2" s="1"/>
  <c r="O15" i="7"/>
  <c r="O29" i="2" s="1"/>
  <c r="P15" i="7"/>
  <c r="P29" i="2" s="1"/>
  <c r="Q15" i="7"/>
  <c r="Q29" i="2" s="1"/>
  <c r="R15" i="7"/>
  <c r="R29" i="2" s="1"/>
  <c r="S15" i="7"/>
  <c r="S29" i="2" s="1"/>
  <c r="T15" i="7"/>
  <c r="T29" i="2" s="1"/>
  <c r="U15" i="7"/>
  <c r="U29" i="2" s="1"/>
  <c r="V15" i="7"/>
  <c r="V29" i="2" s="1"/>
  <c r="W15" i="7"/>
  <c r="W29" i="2" s="1"/>
  <c r="X15" i="7"/>
  <c r="X29" i="2" s="1"/>
  <c r="Y15" i="7"/>
  <c r="Y29" i="2" s="1"/>
  <c r="Z15" i="7"/>
  <c r="Z29" i="2" s="1"/>
  <c r="AA15" i="7"/>
  <c r="AA29" i="2" s="1"/>
  <c r="AB15" i="7"/>
  <c r="AB29" i="2" s="1"/>
  <c r="AC15" i="7"/>
  <c r="AC29" i="2" s="1"/>
  <c r="AD15" i="7"/>
  <c r="AD29" i="2" s="1"/>
  <c r="AE15" i="7"/>
  <c r="AE29" i="2" s="1"/>
  <c r="AF15" i="7"/>
  <c r="AF29" i="2" s="1"/>
  <c r="AG15" i="7"/>
  <c r="AG29" i="2" s="1"/>
  <c r="AH15" i="7"/>
  <c r="AH29" i="2" s="1"/>
  <c r="AI15" i="7"/>
  <c r="AI29" i="2" s="1"/>
  <c r="AJ15" i="7"/>
  <c r="AJ29" i="2" s="1"/>
  <c r="AK15" i="7"/>
  <c r="AK29" i="2" s="1"/>
  <c r="AL15" i="7"/>
  <c r="AL29" i="2" s="1"/>
  <c r="C15" i="7"/>
  <c r="C29" i="2" s="1"/>
  <c r="C9" i="7"/>
  <c r="C33" i="2" s="1"/>
  <c r="E9" i="7"/>
  <c r="E33" i="2" s="1"/>
  <c r="D7" i="7"/>
  <c r="D25" i="2" s="1"/>
  <c r="E7" i="7"/>
  <c r="E25" i="2" s="1"/>
  <c r="F7" i="7"/>
  <c r="F25" i="2" s="1"/>
  <c r="G7" i="7"/>
  <c r="G25" i="2" s="1"/>
  <c r="H7" i="7"/>
  <c r="H25" i="2" s="1"/>
  <c r="I7" i="7"/>
  <c r="I25" i="2" s="1"/>
  <c r="J7" i="7"/>
  <c r="J25" i="2" s="1"/>
  <c r="K7" i="7"/>
  <c r="K25" i="2" s="1"/>
  <c r="L7" i="7"/>
  <c r="L25" i="2" s="1"/>
  <c r="M7" i="7"/>
  <c r="M25" i="2" s="1"/>
  <c r="N7" i="7"/>
  <c r="N25" i="2" s="1"/>
  <c r="O7" i="7"/>
  <c r="O25" i="2" s="1"/>
  <c r="P7" i="7"/>
  <c r="P25" i="2" s="1"/>
  <c r="Q7" i="7"/>
  <c r="Q25" i="2" s="1"/>
  <c r="R7" i="7"/>
  <c r="R25" i="2" s="1"/>
  <c r="S7" i="7"/>
  <c r="S25" i="2" s="1"/>
  <c r="T7" i="7"/>
  <c r="T25" i="2" s="1"/>
  <c r="U7" i="7"/>
  <c r="U25" i="2" s="1"/>
  <c r="V7" i="7"/>
  <c r="V25" i="2" s="1"/>
  <c r="W7" i="7"/>
  <c r="W25" i="2" s="1"/>
  <c r="X7" i="7"/>
  <c r="X25" i="2" s="1"/>
  <c r="Y7" i="7"/>
  <c r="Y25" i="2" s="1"/>
  <c r="Z7" i="7"/>
  <c r="Z25" i="2" s="1"/>
  <c r="AA7" i="7"/>
  <c r="AA25" i="2" s="1"/>
  <c r="AB7" i="7"/>
  <c r="AB25" i="2" s="1"/>
  <c r="AC7" i="7"/>
  <c r="AC25" i="2" s="1"/>
  <c r="AD7" i="7"/>
  <c r="AD25" i="2" s="1"/>
  <c r="AE7" i="7"/>
  <c r="AE25" i="2" s="1"/>
  <c r="AF7" i="7"/>
  <c r="AF25" i="2" s="1"/>
  <c r="AG7" i="7"/>
  <c r="AG25" i="2" s="1"/>
  <c r="AH7" i="7"/>
  <c r="AH25" i="2" s="1"/>
  <c r="AI7" i="7"/>
  <c r="AI25" i="2" s="1"/>
  <c r="AJ7" i="7"/>
  <c r="AJ25" i="2" s="1"/>
  <c r="AK7" i="7"/>
  <c r="AK25" i="2" s="1"/>
  <c r="AL7" i="7"/>
  <c r="AL25" i="2" s="1"/>
  <c r="C7" i="7"/>
  <c r="C25" i="2" s="1"/>
  <c r="D6" i="7"/>
  <c r="D24" i="2" s="1"/>
  <c r="E6" i="7"/>
  <c r="E24" i="2" s="1"/>
  <c r="F6" i="7"/>
  <c r="F24" i="2" s="1"/>
  <c r="G6" i="7"/>
  <c r="G24" i="2" s="1"/>
  <c r="H6" i="7"/>
  <c r="H24" i="2" s="1"/>
  <c r="I6" i="7"/>
  <c r="I24" i="2" s="1"/>
  <c r="J6" i="7"/>
  <c r="J24" i="2" s="1"/>
  <c r="K6" i="7"/>
  <c r="K24" i="2" s="1"/>
  <c r="L6" i="7"/>
  <c r="L24" i="2" s="1"/>
  <c r="M6" i="7"/>
  <c r="M24" i="2" s="1"/>
  <c r="N6" i="7"/>
  <c r="N24" i="2" s="1"/>
  <c r="O6" i="7"/>
  <c r="O24" i="2" s="1"/>
  <c r="P6" i="7"/>
  <c r="P24" i="2" s="1"/>
  <c r="Q6" i="7"/>
  <c r="Q24" i="2" s="1"/>
  <c r="R6" i="7"/>
  <c r="R24" i="2" s="1"/>
  <c r="S6" i="7"/>
  <c r="S24" i="2" s="1"/>
  <c r="T6" i="7"/>
  <c r="T24" i="2" s="1"/>
  <c r="U6" i="7"/>
  <c r="U24" i="2" s="1"/>
  <c r="V6" i="7"/>
  <c r="V24" i="2" s="1"/>
  <c r="W6" i="7"/>
  <c r="W24" i="2" s="1"/>
  <c r="X6" i="7"/>
  <c r="X24" i="2" s="1"/>
  <c r="Y6" i="7"/>
  <c r="Y24" i="2" s="1"/>
  <c r="Z6" i="7"/>
  <c r="Z24" i="2" s="1"/>
  <c r="AA6" i="7"/>
  <c r="AA24" i="2" s="1"/>
  <c r="AB6" i="7"/>
  <c r="AB24" i="2" s="1"/>
  <c r="AC6" i="7"/>
  <c r="AC24" i="2" s="1"/>
  <c r="AD6" i="7"/>
  <c r="AD24" i="2" s="1"/>
  <c r="AE6" i="7"/>
  <c r="AE24" i="2" s="1"/>
  <c r="AF6" i="7"/>
  <c r="AF24" i="2" s="1"/>
  <c r="AG6" i="7"/>
  <c r="AG24" i="2" s="1"/>
  <c r="AH6" i="7"/>
  <c r="AH24" i="2" s="1"/>
  <c r="AI6" i="7"/>
  <c r="AI24" i="2" s="1"/>
  <c r="AJ6" i="7"/>
  <c r="AJ24" i="2" s="1"/>
  <c r="AK6" i="7"/>
  <c r="AK24" i="2" s="1"/>
  <c r="AL6" i="7"/>
  <c r="AL24" i="2" s="1"/>
  <c r="C6" i="7"/>
  <c r="C24" i="2" s="1"/>
  <c r="E11" i="7"/>
  <c r="E12" i="7" s="1"/>
  <c r="D11" i="7"/>
  <c r="D12" i="7" s="1"/>
  <c r="C11" i="7"/>
  <c r="C12" i="7" s="1"/>
  <c r="D9" i="7"/>
  <c r="D33" i="2" s="1"/>
  <c r="F6" i="3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L11" i="7" s="1"/>
  <c r="AL12" i="7" s="1"/>
  <c r="C24" i="3" l="1"/>
  <c r="C9" i="3"/>
  <c r="C6" i="6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C16" i="3"/>
  <c r="C15" i="3" s="1"/>
  <c r="C23" i="3" s="1"/>
  <c r="I9" i="7"/>
  <c r="I33" i="2" s="1"/>
  <c r="U9" i="7"/>
  <c r="U33" i="2" s="1"/>
  <c r="AG9" i="7"/>
  <c r="AG33" i="2" s="1"/>
  <c r="U11" i="7"/>
  <c r="U12" i="7" s="1"/>
  <c r="AC11" i="7"/>
  <c r="AC12" i="7" s="1"/>
  <c r="F9" i="7"/>
  <c r="F33" i="2" s="1"/>
  <c r="J9" i="7"/>
  <c r="J33" i="2" s="1"/>
  <c r="N9" i="7"/>
  <c r="N33" i="2" s="1"/>
  <c r="R9" i="7"/>
  <c r="R33" i="2" s="1"/>
  <c r="V9" i="7"/>
  <c r="V33" i="2" s="1"/>
  <c r="Z9" i="7"/>
  <c r="Z33" i="2" s="1"/>
  <c r="AD9" i="7"/>
  <c r="AD33" i="2" s="1"/>
  <c r="AH9" i="7"/>
  <c r="AH33" i="2" s="1"/>
  <c r="AL9" i="7"/>
  <c r="AL33" i="2" s="1"/>
  <c r="F11" i="7"/>
  <c r="F12" i="7" s="1"/>
  <c r="J11" i="7"/>
  <c r="J12" i="7" s="1"/>
  <c r="N11" i="7"/>
  <c r="N12" i="7" s="1"/>
  <c r="R11" i="7"/>
  <c r="R12" i="7" s="1"/>
  <c r="V11" i="7"/>
  <c r="V12" i="7" s="1"/>
  <c r="Z11" i="7"/>
  <c r="Z12" i="7" s="1"/>
  <c r="AD11" i="7"/>
  <c r="AD12" i="7" s="1"/>
  <c r="AH11" i="7"/>
  <c r="AH12" i="7" s="1"/>
  <c r="M9" i="7"/>
  <c r="M33" i="2" s="1"/>
  <c r="Y9" i="7"/>
  <c r="Y33" i="2" s="1"/>
  <c r="AK9" i="7"/>
  <c r="AK33" i="2" s="1"/>
  <c r="Q11" i="7"/>
  <c r="Q12" i="7" s="1"/>
  <c r="AG11" i="7"/>
  <c r="AG12" i="7" s="1"/>
  <c r="G9" i="7"/>
  <c r="G33" i="2" s="1"/>
  <c r="K9" i="7"/>
  <c r="K33" i="2" s="1"/>
  <c r="O9" i="7"/>
  <c r="O33" i="2" s="1"/>
  <c r="S9" i="7"/>
  <c r="S33" i="2" s="1"/>
  <c r="W9" i="7"/>
  <c r="W33" i="2" s="1"/>
  <c r="AA9" i="7"/>
  <c r="AA33" i="2" s="1"/>
  <c r="AE9" i="7"/>
  <c r="AE33" i="2" s="1"/>
  <c r="AI9" i="7"/>
  <c r="AI33" i="2" s="1"/>
  <c r="G11" i="7"/>
  <c r="G12" i="7" s="1"/>
  <c r="K11" i="7"/>
  <c r="K12" i="7" s="1"/>
  <c r="O11" i="7"/>
  <c r="O12" i="7" s="1"/>
  <c r="S11" i="7"/>
  <c r="S12" i="7" s="1"/>
  <c r="W11" i="7"/>
  <c r="W12" i="7" s="1"/>
  <c r="AA11" i="7"/>
  <c r="AA12" i="7" s="1"/>
  <c r="AE11" i="7"/>
  <c r="AE12" i="7" s="1"/>
  <c r="AI11" i="7"/>
  <c r="AI12" i="7" s="1"/>
  <c r="Q9" i="7"/>
  <c r="Q33" i="2" s="1"/>
  <c r="AC9" i="7"/>
  <c r="AC33" i="2" s="1"/>
  <c r="I11" i="7"/>
  <c r="I12" i="7" s="1"/>
  <c r="M11" i="7"/>
  <c r="M12" i="7" s="1"/>
  <c r="Y11" i="7"/>
  <c r="Y12" i="7" s="1"/>
  <c r="AK11" i="7"/>
  <c r="AK12" i="7" s="1"/>
  <c r="H9" i="7"/>
  <c r="H33" i="2" s="1"/>
  <c r="L9" i="7"/>
  <c r="L33" i="2" s="1"/>
  <c r="P9" i="7"/>
  <c r="P33" i="2" s="1"/>
  <c r="T9" i="7"/>
  <c r="T33" i="2" s="1"/>
  <c r="X9" i="7"/>
  <c r="X33" i="2" s="1"/>
  <c r="AB9" i="7"/>
  <c r="AB33" i="2" s="1"/>
  <c r="AF9" i="7"/>
  <c r="AF33" i="2" s="1"/>
  <c r="AJ9" i="7"/>
  <c r="AJ33" i="2" s="1"/>
  <c r="H11" i="7"/>
  <c r="H12" i="7" s="1"/>
  <c r="L11" i="7"/>
  <c r="L12" i="7" s="1"/>
  <c r="P11" i="7"/>
  <c r="P12" i="7" s="1"/>
  <c r="T11" i="7"/>
  <c r="T12" i="7" s="1"/>
  <c r="X11" i="7"/>
  <c r="X12" i="7" s="1"/>
  <c r="AB11" i="7"/>
  <c r="AB12" i="7" s="1"/>
  <c r="AF11" i="7"/>
  <c r="AF12" i="7" s="1"/>
  <c r="AJ11" i="7"/>
  <c r="AJ12" i="7" s="1"/>
  <c r="D10" i="3"/>
  <c r="D16" i="3" s="1"/>
  <c r="E10" i="3" l="1"/>
  <c r="E16" i="3" s="1"/>
  <c r="C13" i="3"/>
  <c r="C20" i="3" s="1"/>
  <c r="C21" i="3"/>
  <c r="C18" i="6"/>
  <c r="C19" i="6" s="1"/>
  <c r="C20" i="2" s="1"/>
  <c r="F10" i="3"/>
  <c r="F16" i="3" s="1"/>
  <c r="D11" i="3"/>
  <c r="C7" i="2"/>
  <c r="G10" i="3"/>
  <c r="G16" i="3" s="1"/>
  <c r="C19" i="3" l="1"/>
  <c r="C15" i="6"/>
  <c r="C16" i="6" s="1"/>
  <c r="C19" i="2" s="1"/>
  <c r="D9" i="3"/>
  <c r="D6" i="6" s="1"/>
  <c r="C12" i="2"/>
  <c r="C8" i="6"/>
  <c r="C13" i="7"/>
  <c r="C10" i="7" s="1"/>
  <c r="C28" i="2" s="1"/>
  <c r="E11" i="3"/>
  <c r="E9" i="3" s="1"/>
  <c r="D17" i="3"/>
  <c r="H10" i="3"/>
  <c r="H16" i="3" s="1"/>
  <c r="C27" i="2" l="1"/>
  <c r="C22" i="2" s="1"/>
  <c r="C12" i="6"/>
  <c r="C13" i="6" s="1"/>
  <c r="C18" i="2" s="1"/>
  <c r="D7" i="2"/>
  <c r="D15" i="6"/>
  <c r="D16" i="6" s="1"/>
  <c r="D19" i="2" s="1"/>
  <c r="D18" i="6"/>
  <c r="D19" i="6" s="1"/>
  <c r="D20" i="2" s="1"/>
  <c r="C7" i="6"/>
  <c r="E7" i="2"/>
  <c r="E6" i="6"/>
  <c r="F11" i="3"/>
  <c r="F9" i="3" s="1"/>
  <c r="D14" i="3"/>
  <c r="D15" i="3"/>
  <c r="D8" i="6" s="1"/>
  <c r="C6" i="2"/>
  <c r="C45" i="2" s="1"/>
  <c r="I10" i="3"/>
  <c r="I16" i="3" s="1"/>
  <c r="D12" i="6" l="1"/>
  <c r="D13" i="6" s="1"/>
  <c r="D18" i="2" s="1"/>
  <c r="C10" i="6"/>
  <c r="C16" i="2" s="1"/>
  <c r="C14" i="2" s="1"/>
  <c r="D25" i="3"/>
  <c r="D24" i="3" s="1"/>
  <c r="E15" i="6"/>
  <c r="E16" i="6" s="1"/>
  <c r="E19" i="2" s="1"/>
  <c r="E18" i="6"/>
  <c r="E19" i="6" s="1"/>
  <c r="E20" i="2" s="1"/>
  <c r="G11" i="3"/>
  <c r="G9" i="3" s="1"/>
  <c r="G6" i="6" s="1"/>
  <c r="F6" i="6"/>
  <c r="F7" i="2"/>
  <c r="C11" i="2"/>
  <c r="C9" i="2" s="1"/>
  <c r="D13" i="3"/>
  <c r="D20" i="3" s="1"/>
  <c r="D21" i="3"/>
  <c r="D12" i="2" s="1"/>
  <c r="D23" i="3"/>
  <c r="D13" i="7" s="1"/>
  <c r="D10" i="7" s="1"/>
  <c r="D28" i="2" s="1"/>
  <c r="J10" i="3"/>
  <c r="J16" i="3" s="1"/>
  <c r="D27" i="2" l="1"/>
  <c r="D22" i="2" s="1"/>
  <c r="C35" i="2"/>
  <c r="C37" i="2" s="1"/>
  <c r="C39" i="2" s="1"/>
  <c r="G7" i="2"/>
  <c r="H11" i="3"/>
  <c r="H9" i="3" s="1"/>
  <c r="H6" i="6" s="1"/>
  <c r="E17" i="3"/>
  <c r="E15" i="3" s="1"/>
  <c r="E8" i="6" s="1"/>
  <c r="E12" i="6" s="1"/>
  <c r="E13" i="6" s="1"/>
  <c r="E18" i="2" s="1"/>
  <c r="F18" i="6"/>
  <c r="F19" i="6" s="1"/>
  <c r="F20" i="2" s="1"/>
  <c r="F15" i="6"/>
  <c r="F16" i="6" s="1"/>
  <c r="F19" i="2" s="1"/>
  <c r="D6" i="2"/>
  <c r="D45" i="2" s="1"/>
  <c r="D7" i="6"/>
  <c r="D10" i="6" s="1"/>
  <c r="D16" i="2" s="1"/>
  <c r="D14" i="2" s="1"/>
  <c r="E14" i="3"/>
  <c r="E25" i="3" s="1"/>
  <c r="E24" i="3" s="1"/>
  <c r="D11" i="2"/>
  <c r="D9" i="2" s="1"/>
  <c r="D19" i="3"/>
  <c r="K10" i="3"/>
  <c r="K16" i="3" s="1"/>
  <c r="E23" i="3" l="1"/>
  <c r="E13" i="7" s="1"/>
  <c r="E10" i="7" s="1"/>
  <c r="E28" i="2" s="1"/>
  <c r="D35" i="2"/>
  <c r="D37" i="2" s="1"/>
  <c r="D39" i="2" s="1"/>
  <c r="I11" i="3"/>
  <c r="I9" i="3" s="1"/>
  <c r="I6" i="6" s="1"/>
  <c r="H7" i="2"/>
  <c r="E21" i="3"/>
  <c r="E12" i="2" s="1"/>
  <c r="G18" i="6"/>
  <c r="G19" i="6" s="1"/>
  <c r="G20" i="2" s="1"/>
  <c r="E13" i="3"/>
  <c r="E7" i="6" s="1"/>
  <c r="E10" i="6" s="1"/>
  <c r="E16" i="2" s="1"/>
  <c r="E14" i="2" s="1"/>
  <c r="G15" i="6"/>
  <c r="L10" i="3"/>
  <c r="L16" i="3" s="1"/>
  <c r="E27" i="2" l="1"/>
  <c r="E22" i="2" s="1"/>
  <c r="I7" i="2"/>
  <c r="J11" i="3"/>
  <c r="J9" i="3" s="1"/>
  <c r="J6" i="6" s="1"/>
  <c r="E6" i="2"/>
  <c r="E45" i="2" s="1"/>
  <c r="F14" i="3"/>
  <c r="F25" i="3" s="1"/>
  <c r="F24" i="3" s="1"/>
  <c r="F17" i="3"/>
  <c r="F15" i="3" s="1"/>
  <c r="F8" i="6" s="1"/>
  <c r="F12" i="6" s="1"/>
  <c r="F13" i="6" s="1"/>
  <c r="F18" i="2" s="1"/>
  <c r="H18" i="6"/>
  <c r="H19" i="6" s="1"/>
  <c r="H20" i="2" s="1"/>
  <c r="E20" i="3"/>
  <c r="E11" i="2" s="1"/>
  <c r="E9" i="2" s="1"/>
  <c r="E35" i="2" s="1"/>
  <c r="G16" i="6"/>
  <c r="G19" i="2" s="1"/>
  <c r="H15" i="6"/>
  <c r="K11" i="3"/>
  <c r="K9" i="3" s="1"/>
  <c r="K6" i="6" s="1"/>
  <c r="M10" i="3"/>
  <c r="M16" i="3" s="1"/>
  <c r="J7" i="2" l="1"/>
  <c r="E19" i="3"/>
  <c r="E37" i="2"/>
  <c r="E39" i="2" s="1"/>
  <c r="F21" i="3"/>
  <c r="F12" i="2" s="1"/>
  <c r="F13" i="3"/>
  <c r="F20" i="3" s="1"/>
  <c r="F23" i="3"/>
  <c r="F13" i="7" s="1"/>
  <c r="F10" i="7" s="1"/>
  <c r="F28" i="2" s="1"/>
  <c r="I18" i="6"/>
  <c r="I19" i="6" s="1"/>
  <c r="I20" i="2" s="1"/>
  <c r="H16" i="6"/>
  <c r="H19" i="2" s="1"/>
  <c r="I15" i="6"/>
  <c r="L11" i="3"/>
  <c r="L9" i="3" s="1"/>
  <c r="L6" i="6" s="1"/>
  <c r="K7" i="2"/>
  <c r="N10" i="3"/>
  <c r="N16" i="3" s="1"/>
  <c r="F27" i="2" l="1"/>
  <c r="F22" i="2" s="1"/>
  <c r="G17" i="3"/>
  <c r="G15" i="3" s="1"/>
  <c r="G21" i="3" s="1"/>
  <c r="G12" i="2" s="1"/>
  <c r="F6" i="2"/>
  <c r="F45" i="2" s="1"/>
  <c r="G14" i="3"/>
  <c r="G25" i="3" s="1"/>
  <c r="G24" i="3" s="1"/>
  <c r="F7" i="6"/>
  <c r="F10" i="6" s="1"/>
  <c r="F16" i="2" s="1"/>
  <c r="F14" i="2" s="1"/>
  <c r="J18" i="6"/>
  <c r="I16" i="6"/>
  <c r="I19" i="2" s="1"/>
  <c r="J15" i="6"/>
  <c r="F11" i="2"/>
  <c r="F9" i="2" s="1"/>
  <c r="F19" i="3"/>
  <c r="M11" i="3"/>
  <c r="M9" i="3" s="1"/>
  <c r="M6" i="6" s="1"/>
  <c r="L7" i="2"/>
  <c r="O10" i="3"/>
  <c r="O16" i="3" s="1"/>
  <c r="G23" i="3" l="1"/>
  <c r="G13" i="7" s="1"/>
  <c r="G10" i="7" s="1"/>
  <c r="G28" i="2" s="1"/>
  <c r="G8" i="6"/>
  <c r="G12" i="6" s="1"/>
  <c r="G13" i="6" s="1"/>
  <c r="G18" i="2" s="1"/>
  <c r="G13" i="3"/>
  <c r="G7" i="6" s="1"/>
  <c r="G10" i="6" s="1"/>
  <c r="G16" i="2" s="1"/>
  <c r="F35" i="2"/>
  <c r="F37" i="2" s="1"/>
  <c r="F39" i="2" s="1"/>
  <c r="J19" i="6"/>
  <c r="J20" i="2" s="1"/>
  <c r="K18" i="6"/>
  <c r="J16" i="6"/>
  <c r="J19" i="2" s="1"/>
  <c r="K15" i="6"/>
  <c r="N11" i="3"/>
  <c r="N9" i="3" s="1"/>
  <c r="N6" i="6" s="1"/>
  <c r="M7" i="2"/>
  <c r="P10" i="3"/>
  <c r="P16" i="3" s="1"/>
  <c r="G27" i="2" l="1"/>
  <c r="G22" i="2" s="1"/>
  <c r="G14" i="2"/>
  <c r="H14" i="3"/>
  <c r="H25" i="3" s="1"/>
  <c r="H24" i="3" s="1"/>
  <c r="H17" i="3"/>
  <c r="H15" i="3" s="1"/>
  <c r="H8" i="6" s="1"/>
  <c r="H12" i="6" s="1"/>
  <c r="H13" i="6" s="1"/>
  <c r="H18" i="2" s="1"/>
  <c r="G20" i="3"/>
  <c r="G11" i="2" s="1"/>
  <c r="G9" i="2" s="1"/>
  <c r="G6" i="2"/>
  <c r="G45" i="2" s="1"/>
  <c r="K19" i="6"/>
  <c r="K20" i="2" s="1"/>
  <c r="L18" i="6"/>
  <c r="L15" i="6"/>
  <c r="K16" i="6"/>
  <c r="K19" i="2" s="1"/>
  <c r="O11" i="3"/>
  <c r="O9" i="3" s="1"/>
  <c r="O6" i="6" s="1"/>
  <c r="N7" i="2"/>
  <c r="Q10" i="3"/>
  <c r="Q16" i="3" s="1"/>
  <c r="G35" i="2" l="1"/>
  <c r="G37" i="2" s="1"/>
  <c r="G39" i="2" s="1"/>
  <c r="H21" i="3"/>
  <c r="H12" i="2" s="1"/>
  <c r="H23" i="3"/>
  <c r="H13" i="7" s="1"/>
  <c r="H10" i="7" s="1"/>
  <c r="H28" i="2" s="1"/>
  <c r="H13" i="3"/>
  <c r="H7" i="6" s="1"/>
  <c r="H10" i="6" s="1"/>
  <c r="H16" i="2" s="1"/>
  <c r="H14" i="2" s="1"/>
  <c r="G19" i="3"/>
  <c r="L19" i="6"/>
  <c r="L20" i="2" s="1"/>
  <c r="M18" i="6"/>
  <c r="L16" i="6"/>
  <c r="L19" i="2" s="1"/>
  <c r="M15" i="6"/>
  <c r="P11" i="3"/>
  <c r="P9" i="3" s="1"/>
  <c r="P6" i="6" s="1"/>
  <c r="O7" i="2"/>
  <c r="R10" i="3"/>
  <c r="R16" i="3" s="1"/>
  <c r="H27" i="2" l="1"/>
  <c r="H22" i="2" s="1"/>
  <c r="H6" i="2"/>
  <c r="H45" i="2" s="1"/>
  <c r="I14" i="3"/>
  <c r="I25" i="3" s="1"/>
  <c r="I24" i="3" s="1"/>
  <c r="H20" i="3"/>
  <c r="H19" i="3" s="1"/>
  <c r="I17" i="3"/>
  <c r="I15" i="3" s="1"/>
  <c r="I8" i="6" s="1"/>
  <c r="I12" i="6" s="1"/>
  <c r="I13" i="6" s="1"/>
  <c r="I18" i="2" s="1"/>
  <c r="M19" i="6"/>
  <c r="M20" i="2" s="1"/>
  <c r="N18" i="6"/>
  <c r="M16" i="6"/>
  <c r="M19" i="2" s="1"/>
  <c r="N15" i="6"/>
  <c r="Q11" i="3"/>
  <c r="Q9" i="3" s="1"/>
  <c r="Q6" i="6" s="1"/>
  <c r="P7" i="2"/>
  <c r="S10" i="3"/>
  <c r="S16" i="3" s="1"/>
  <c r="H11" i="2" l="1"/>
  <c r="H9" i="2" s="1"/>
  <c r="H35" i="2" s="1"/>
  <c r="I21" i="3"/>
  <c r="I12" i="2" s="1"/>
  <c r="I13" i="3"/>
  <c r="J17" i="3" s="1"/>
  <c r="J15" i="3" s="1"/>
  <c r="J8" i="6" s="1"/>
  <c r="J12" i="6" s="1"/>
  <c r="J13" i="6" s="1"/>
  <c r="J18" i="2" s="1"/>
  <c r="I23" i="3"/>
  <c r="I13" i="7" s="1"/>
  <c r="I10" i="7" s="1"/>
  <c r="I28" i="2" s="1"/>
  <c r="H37" i="2"/>
  <c r="H39" i="2" s="1"/>
  <c r="N19" i="6"/>
  <c r="N20" i="2" s="1"/>
  <c r="O18" i="6"/>
  <c r="N16" i="6"/>
  <c r="N19" i="2" s="1"/>
  <c r="O15" i="6"/>
  <c r="R11" i="3"/>
  <c r="R9" i="3" s="1"/>
  <c r="R6" i="6" s="1"/>
  <c r="Q7" i="2"/>
  <c r="T10" i="3"/>
  <c r="T16" i="3" s="1"/>
  <c r="I27" i="2" l="1"/>
  <c r="I22" i="2" s="1"/>
  <c r="I7" i="6"/>
  <c r="I10" i="6" s="1"/>
  <c r="I16" i="2" s="1"/>
  <c r="I14" i="2" s="1"/>
  <c r="J14" i="3"/>
  <c r="J13" i="3" s="1"/>
  <c r="J7" i="6" s="1"/>
  <c r="J10" i="6" s="1"/>
  <c r="J16" i="2" s="1"/>
  <c r="J14" i="2" s="1"/>
  <c r="I6" i="2"/>
  <c r="I45" i="2" s="1"/>
  <c r="I20" i="3"/>
  <c r="I11" i="2" s="1"/>
  <c r="I9" i="2" s="1"/>
  <c r="O19" i="6"/>
  <c r="O20" i="2" s="1"/>
  <c r="P18" i="6"/>
  <c r="O16" i="6"/>
  <c r="O19" i="2" s="1"/>
  <c r="P15" i="6"/>
  <c r="J23" i="3"/>
  <c r="J13" i="7" s="1"/>
  <c r="J10" i="7" s="1"/>
  <c r="J28" i="2" s="1"/>
  <c r="J21" i="3"/>
  <c r="J12" i="2" s="1"/>
  <c r="S11" i="3"/>
  <c r="S9" i="3" s="1"/>
  <c r="S6" i="6" s="1"/>
  <c r="R7" i="2"/>
  <c r="U10" i="3"/>
  <c r="U16" i="3" s="1"/>
  <c r="J27" i="2" l="1"/>
  <c r="J22" i="2" s="1"/>
  <c r="J45" i="2"/>
  <c r="I19" i="3"/>
  <c r="I35" i="2"/>
  <c r="I37" i="2" s="1"/>
  <c r="I39" i="2" s="1"/>
  <c r="J25" i="3"/>
  <c r="J24" i="3" s="1"/>
  <c r="P19" i="6"/>
  <c r="P20" i="2" s="1"/>
  <c r="Q18" i="6"/>
  <c r="P16" i="6"/>
  <c r="P19" i="2" s="1"/>
  <c r="Q15" i="6"/>
  <c r="T11" i="3"/>
  <c r="T9" i="3" s="1"/>
  <c r="T6" i="6" s="1"/>
  <c r="S7" i="2"/>
  <c r="J20" i="3"/>
  <c r="J6" i="2"/>
  <c r="K14" i="3"/>
  <c r="K25" i="3" s="1"/>
  <c r="K24" i="3" s="1"/>
  <c r="K17" i="3"/>
  <c r="K15" i="3" s="1"/>
  <c r="K8" i="6" s="1"/>
  <c r="K12" i="6" s="1"/>
  <c r="K13" i="6" s="1"/>
  <c r="K18" i="2" s="1"/>
  <c r="V10" i="3"/>
  <c r="V16" i="3" s="1"/>
  <c r="Q19" i="6" l="1"/>
  <c r="Q20" i="2" s="1"/>
  <c r="R18" i="6"/>
  <c r="Q16" i="6"/>
  <c r="Q19" i="2" s="1"/>
  <c r="R15" i="6"/>
  <c r="J11" i="2"/>
  <c r="J9" i="2" s="1"/>
  <c r="J35" i="2" s="1"/>
  <c r="J19" i="3"/>
  <c r="K23" i="3"/>
  <c r="K13" i="7" s="1"/>
  <c r="K10" i="7" s="1"/>
  <c r="K28" i="2" s="1"/>
  <c r="K21" i="3"/>
  <c r="K12" i="2" s="1"/>
  <c r="U11" i="3"/>
  <c r="U9" i="3" s="1"/>
  <c r="U6" i="6" s="1"/>
  <c r="T7" i="2"/>
  <c r="K13" i="3"/>
  <c r="K7" i="6" s="1"/>
  <c r="K10" i="6" s="1"/>
  <c r="K16" i="2" s="1"/>
  <c r="K14" i="2" s="1"/>
  <c r="W10" i="3"/>
  <c r="W16" i="3" s="1"/>
  <c r="K27" i="2" l="1"/>
  <c r="K22" i="2" s="1"/>
  <c r="J37" i="2"/>
  <c r="J39" i="2" s="1"/>
  <c r="R19" i="6"/>
  <c r="R20" i="2" s="1"/>
  <c r="S18" i="6"/>
  <c r="S15" i="6"/>
  <c r="R16" i="6"/>
  <c r="R19" i="2" s="1"/>
  <c r="V11" i="3"/>
  <c r="V9" i="3" s="1"/>
  <c r="V6" i="6" s="1"/>
  <c r="U7" i="2"/>
  <c r="L17" i="3"/>
  <c r="L15" i="3" s="1"/>
  <c r="L8" i="6" s="1"/>
  <c r="L12" i="6" s="1"/>
  <c r="L13" i="6" s="1"/>
  <c r="L18" i="2" s="1"/>
  <c r="K6" i="2"/>
  <c r="K45" i="2" s="1"/>
  <c r="K20" i="3"/>
  <c r="L14" i="3"/>
  <c r="L25" i="3" s="1"/>
  <c r="L24" i="3" s="1"/>
  <c r="X10" i="3"/>
  <c r="X16" i="3" s="1"/>
  <c r="S19" i="6" l="1"/>
  <c r="S20" i="2" s="1"/>
  <c r="T18" i="6"/>
  <c r="S16" i="6"/>
  <c r="S19" i="2" s="1"/>
  <c r="T15" i="6"/>
  <c r="K11" i="2"/>
  <c r="K9" i="2" s="1"/>
  <c r="K35" i="2" s="1"/>
  <c r="K19" i="3"/>
  <c r="L23" i="3"/>
  <c r="L13" i="7" s="1"/>
  <c r="L10" i="7" s="1"/>
  <c r="L28" i="2" s="1"/>
  <c r="L21" i="3"/>
  <c r="L12" i="2" s="1"/>
  <c r="W11" i="3"/>
  <c r="W9" i="3" s="1"/>
  <c r="W6" i="6" s="1"/>
  <c r="V7" i="2"/>
  <c r="L13" i="3"/>
  <c r="L7" i="6" s="1"/>
  <c r="L10" i="6" s="1"/>
  <c r="L16" i="2" s="1"/>
  <c r="L14" i="2" s="1"/>
  <c r="Y10" i="3"/>
  <c r="Y16" i="3" s="1"/>
  <c r="L27" i="2" l="1"/>
  <c r="L22" i="2" s="1"/>
  <c r="K37" i="2"/>
  <c r="K39" i="2" s="1"/>
  <c r="T19" i="6"/>
  <c r="T20" i="2" s="1"/>
  <c r="U18" i="6"/>
  <c r="T16" i="6"/>
  <c r="T19" i="2" s="1"/>
  <c r="U15" i="6"/>
  <c r="X11" i="3"/>
  <c r="X9" i="3" s="1"/>
  <c r="X6" i="6" s="1"/>
  <c r="W7" i="2"/>
  <c r="M14" i="3"/>
  <c r="M25" i="3" s="1"/>
  <c r="M24" i="3" s="1"/>
  <c r="L6" i="2"/>
  <c r="L45" i="2" s="1"/>
  <c r="L20" i="3"/>
  <c r="M17" i="3"/>
  <c r="M15" i="3" s="1"/>
  <c r="M8" i="6" s="1"/>
  <c r="M12" i="6" s="1"/>
  <c r="M13" i="6" s="1"/>
  <c r="M18" i="2" s="1"/>
  <c r="Z10" i="3"/>
  <c r="Z16" i="3" s="1"/>
  <c r="U19" i="6" l="1"/>
  <c r="U20" i="2" s="1"/>
  <c r="V18" i="6"/>
  <c r="U16" i="6"/>
  <c r="U19" i="2" s="1"/>
  <c r="V15" i="6"/>
  <c r="L11" i="2"/>
  <c r="L9" i="2" s="1"/>
  <c r="L35" i="2" s="1"/>
  <c r="L19" i="3"/>
  <c r="M23" i="3"/>
  <c r="M13" i="7" s="1"/>
  <c r="M10" i="7" s="1"/>
  <c r="M28" i="2" s="1"/>
  <c r="M21" i="3"/>
  <c r="M12" i="2" s="1"/>
  <c r="Y11" i="3"/>
  <c r="Y9" i="3" s="1"/>
  <c r="Y6" i="6" s="1"/>
  <c r="X7" i="2"/>
  <c r="M13" i="3"/>
  <c r="M7" i="6" s="1"/>
  <c r="M10" i="6" s="1"/>
  <c r="M16" i="2" s="1"/>
  <c r="M14" i="2" s="1"/>
  <c r="AA10" i="3"/>
  <c r="AA16" i="3" s="1"/>
  <c r="M27" i="2" l="1"/>
  <c r="M22" i="2" s="1"/>
  <c r="M45" i="2"/>
  <c r="L37" i="2"/>
  <c r="L39" i="2" s="1"/>
  <c r="V19" i="6"/>
  <c r="V20" i="2" s="1"/>
  <c r="W18" i="6"/>
  <c r="V16" i="6"/>
  <c r="V19" i="2" s="1"/>
  <c r="W15" i="6"/>
  <c r="Z11" i="3"/>
  <c r="Z9" i="3" s="1"/>
  <c r="Z6" i="6" s="1"/>
  <c r="Y7" i="2"/>
  <c r="M6" i="2"/>
  <c r="N14" i="3"/>
  <c r="N25" i="3" s="1"/>
  <c r="N24" i="3" s="1"/>
  <c r="N17" i="3"/>
  <c r="N15" i="3" s="1"/>
  <c r="M20" i="3"/>
  <c r="AB10" i="3"/>
  <c r="AB16" i="3" s="1"/>
  <c r="W19" i="6" l="1"/>
  <c r="W20" i="2" s="1"/>
  <c r="X18" i="6"/>
  <c r="W16" i="6"/>
  <c r="W19" i="2" s="1"/>
  <c r="X15" i="6"/>
  <c r="N21" i="3"/>
  <c r="N12" i="2" s="1"/>
  <c r="N8" i="6"/>
  <c r="N12" i="6" s="1"/>
  <c r="N13" i="6" s="1"/>
  <c r="N18" i="2" s="1"/>
  <c r="M11" i="2"/>
  <c r="M9" i="2" s="1"/>
  <c r="M35" i="2" s="1"/>
  <c r="M19" i="3"/>
  <c r="N23" i="3"/>
  <c r="N13" i="7" s="1"/>
  <c r="N10" i="7" s="1"/>
  <c r="N28" i="2" s="1"/>
  <c r="AA11" i="3"/>
  <c r="AA9" i="3" s="1"/>
  <c r="AA6" i="6" s="1"/>
  <c r="Z7" i="2"/>
  <c r="N13" i="3"/>
  <c r="N7" i="6" s="1"/>
  <c r="N10" i="6" s="1"/>
  <c r="N16" i="2" s="1"/>
  <c r="AC10" i="3"/>
  <c r="AC16" i="3" s="1"/>
  <c r="N27" i="2" l="1"/>
  <c r="N22" i="2" s="1"/>
  <c r="M37" i="2"/>
  <c r="M39" i="2" s="1"/>
  <c r="X19" i="6"/>
  <c r="X20" i="2" s="1"/>
  <c r="Y18" i="6"/>
  <c r="N14" i="2"/>
  <c r="X16" i="6"/>
  <c r="X19" i="2" s="1"/>
  <c r="Y15" i="6"/>
  <c r="AB11" i="3"/>
  <c r="AB9" i="3" s="1"/>
  <c r="AB6" i="6" s="1"/>
  <c r="AA7" i="2"/>
  <c r="O17" i="3"/>
  <c r="O15" i="3" s="1"/>
  <c r="N6" i="2"/>
  <c r="N45" i="2" s="1"/>
  <c r="N20" i="3"/>
  <c r="O14" i="3"/>
  <c r="O25" i="3" s="1"/>
  <c r="O24" i="3" s="1"/>
  <c r="AD10" i="3"/>
  <c r="AD16" i="3" s="1"/>
  <c r="Y19" i="6" l="1"/>
  <c r="Y20" i="2" s="1"/>
  <c r="Z18" i="6"/>
  <c r="O21" i="3"/>
  <c r="O12" i="2" s="1"/>
  <c r="O8" i="6"/>
  <c r="O12" i="6" s="1"/>
  <c r="O13" i="6" s="1"/>
  <c r="O18" i="2" s="1"/>
  <c r="Y16" i="6"/>
  <c r="Y19" i="2" s="1"/>
  <c r="Z15" i="6"/>
  <c r="N11" i="2"/>
  <c r="N9" i="2" s="1"/>
  <c r="N35" i="2" s="1"/>
  <c r="N19" i="3"/>
  <c r="AC11" i="3"/>
  <c r="AC9" i="3" s="1"/>
  <c r="AC6" i="6" s="1"/>
  <c r="AB7" i="2"/>
  <c r="O23" i="3"/>
  <c r="O13" i="7" s="1"/>
  <c r="O10" i="7" s="1"/>
  <c r="O28" i="2" s="1"/>
  <c r="O13" i="3"/>
  <c r="O7" i="6" s="1"/>
  <c r="O10" i="6" s="1"/>
  <c r="O16" i="2" s="1"/>
  <c r="AE10" i="3"/>
  <c r="AE16" i="3" s="1"/>
  <c r="O27" i="2" l="1"/>
  <c r="O22" i="2" s="1"/>
  <c r="N37" i="2"/>
  <c r="N39" i="2" s="1"/>
  <c r="Z19" i="6"/>
  <c r="Z20" i="2" s="1"/>
  <c r="AA18" i="6"/>
  <c r="O14" i="2"/>
  <c r="Z16" i="6"/>
  <c r="Z19" i="2" s="1"/>
  <c r="AA15" i="6"/>
  <c r="AD11" i="3"/>
  <c r="AD9" i="3" s="1"/>
  <c r="AD6" i="6" s="1"/>
  <c r="AC7" i="2"/>
  <c r="O6" i="2"/>
  <c r="O45" i="2" s="1"/>
  <c r="P14" i="3"/>
  <c r="P25" i="3" s="1"/>
  <c r="P24" i="3" s="1"/>
  <c r="P17" i="3"/>
  <c r="P15" i="3" s="1"/>
  <c r="P8" i="6" s="1"/>
  <c r="P12" i="6" s="1"/>
  <c r="P13" i="6" s="1"/>
  <c r="P18" i="2" s="1"/>
  <c r="O20" i="3"/>
  <c r="AF10" i="3"/>
  <c r="AF16" i="3" s="1"/>
  <c r="AA19" i="6" l="1"/>
  <c r="AA20" i="2" s="1"/>
  <c r="AB18" i="6"/>
  <c r="AA16" i="6"/>
  <c r="AA19" i="2" s="1"/>
  <c r="AB15" i="6"/>
  <c r="O11" i="2"/>
  <c r="O9" i="2" s="1"/>
  <c r="O35" i="2" s="1"/>
  <c r="O19" i="3"/>
  <c r="P23" i="3"/>
  <c r="P13" i="7" s="1"/>
  <c r="P10" i="7" s="1"/>
  <c r="P28" i="2" s="1"/>
  <c r="P21" i="3"/>
  <c r="P12" i="2" s="1"/>
  <c r="AE11" i="3"/>
  <c r="AE9" i="3" s="1"/>
  <c r="AE6" i="6" s="1"/>
  <c r="AD7" i="2"/>
  <c r="P13" i="3"/>
  <c r="P7" i="6" s="1"/>
  <c r="P10" i="6" s="1"/>
  <c r="P16" i="2" s="1"/>
  <c r="P14" i="2" s="1"/>
  <c r="AG10" i="3"/>
  <c r="AG16" i="3" s="1"/>
  <c r="P27" i="2" l="1"/>
  <c r="P22" i="2" s="1"/>
  <c r="O37" i="2"/>
  <c r="O39" i="2" s="1"/>
  <c r="AB19" i="6"/>
  <c r="AB20" i="2" s="1"/>
  <c r="AC18" i="6"/>
  <c r="AB16" i="6"/>
  <c r="AB19" i="2" s="1"/>
  <c r="AC15" i="6"/>
  <c r="AF11" i="3"/>
  <c r="AF9" i="3" s="1"/>
  <c r="AF6" i="6" s="1"/>
  <c r="AE7" i="2"/>
  <c r="P6" i="2"/>
  <c r="P45" i="2" s="1"/>
  <c r="P20" i="3"/>
  <c r="Q17" i="3"/>
  <c r="Q15" i="3" s="1"/>
  <c r="Q14" i="3"/>
  <c r="Q25" i="3" s="1"/>
  <c r="Q24" i="3" s="1"/>
  <c r="AH10" i="3"/>
  <c r="AH16" i="3" s="1"/>
  <c r="AC19" i="6" l="1"/>
  <c r="AC20" i="2" s="1"/>
  <c r="AD18" i="6"/>
  <c r="Q21" i="3"/>
  <c r="Q12" i="2" s="1"/>
  <c r="Q8" i="6"/>
  <c r="Q12" i="6" s="1"/>
  <c r="Q13" i="6" s="1"/>
  <c r="Q18" i="2" s="1"/>
  <c r="AC16" i="6"/>
  <c r="AC19" i="2" s="1"/>
  <c r="AD15" i="6"/>
  <c r="P11" i="2"/>
  <c r="P9" i="2" s="1"/>
  <c r="P35" i="2" s="1"/>
  <c r="P19" i="3"/>
  <c r="AG11" i="3"/>
  <c r="AG9" i="3" s="1"/>
  <c r="AG6" i="6" s="1"/>
  <c r="AF7" i="2"/>
  <c r="Q23" i="3"/>
  <c r="Q13" i="7" s="1"/>
  <c r="Q10" i="7" s="1"/>
  <c r="Q28" i="2" s="1"/>
  <c r="Q13" i="3"/>
  <c r="Q7" i="6" s="1"/>
  <c r="Q10" i="6" s="1"/>
  <c r="Q16" i="2" s="1"/>
  <c r="AI10" i="3"/>
  <c r="AI16" i="3" s="1"/>
  <c r="Q27" i="2" l="1"/>
  <c r="Q22" i="2" s="1"/>
  <c r="P37" i="2"/>
  <c r="P39" i="2" s="1"/>
  <c r="Q14" i="2"/>
  <c r="AD19" i="6"/>
  <c r="AD20" i="2" s="1"/>
  <c r="AE18" i="6"/>
  <c r="AD16" i="6"/>
  <c r="AD19" i="2" s="1"/>
  <c r="AE15" i="6"/>
  <c r="AH11" i="3"/>
  <c r="AH9" i="3" s="1"/>
  <c r="AH6" i="6" s="1"/>
  <c r="AG7" i="2"/>
  <c r="Q6" i="2"/>
  <c r="Q45" i="2" s="1"/>
  <c r="R17" i="3"/>
  <c r="R15" i="3" s="1"/>
  <c r="Q20" i="3"/>
  <c r="R14" i="3"/>
  <c r="R25" i="3" s="1"/>
  <c r="R24" i="3" s="1"/>
  <c r="AJ10" i="3"/>
  <c r="AJ16" i="3" s="1"/>
  <c r="AE19" i="6" l="1"/>
  <c r="AE20" i="2" s="1"/>
  <c r="AF18" i="6"/>
  <c r="AE16" i="6"/>
  <c r="AE19" i="2" s="1"/>
  <c r="AF15" i="6"/>
  <c r="R21" i="3"/>
  <c r="R12" i="2" s="1"/>
  <c r="R8" i="6"/>
  <c r="R12" i="6" s="1"/>
  <c r="R13" i="6" s="1"/>
  <c r="R18" i="2" s="1"/>
  <c r="Q11" i="2"/>
  <c r="Q9" i="2" s="1"/>
  <c r="Q35" i="2" s="1"/>
  <c r="Q19" i="3"/>
  <c r="AI11" i="3"/>
  <c r="AI9" i="3" s="1"/>
  <c r="AI6" i="6" s="1"/>
  <c r="AH7" i="2"/>
  <c r="R23" i="3"/>
  <c r="R13" i="7" s="1"/>
  <c r="R10" i="7" s="1"/>
  <c r="R28" i="2" s="1"/>
  <c r="R13" i="3"/>
  <c r="R7" i="6" s="1"/>
  <c r="R10" i="6" s="1"/>
  <c r="R16" i="2" s="1"/>
  <c r="AK10" i="3"/>
  <c r="AK16" i="3" s="1"/>
  <c r="R27" i="2" l="1"/>
  <c r="R22" i="2" s="1"/>
  <c r="Q37" i="2"/>
  <c r="Q39" i="2" s="1"/>
  <c r="AF19" i="6"/>
  <c r="AF20" i="2" s="1"/>
  <c r="AG18" i="6"/>
  <c r="R14" i="2"/>
  <c r="AF16" i="6"/>
  <c r="AF19" i="2" s="1"/>
  <c r="AG15" i="6"/>
  <c r="AJ11" i="3"/>
  <c r="AI7" i="2"/>
  <c r="R6" i="2"/>
  <c r="R45" i="2" s="1"/>
  <c r="S17" i="3"/>
  <c r="S15" i="3" s="1"/>
  <c r="R20" i="3"/>
  <c r="S14" i="3"/>
  <c r="S25" i="3" s="1"/>
  <c r="S24" i="3" s="1"/>
  <c r="AL10" i="3"/>
  <c r="AL16" i="3" s="1"/>
  <c r="AG19" i="6" l="1"/>
  <c r="AG20" i="2" s="1"/>
  <c r="AH18" i="6"/>
  <c r="AG16" i="6"/>
  <c r="AG19" i="2" s="1"/>
  <c r="AH15" i="6"/>
  <c r="S21" i="3"/>
  <c r="S12" i="2" s="1"/>
  <c r="S8" i="6"/>
  <c r="S12" i="6" s="1"/>
  <c r="S13" i="6" s="1"/>
  <c r="S18" i="2" s="1"/>
  <c r="R11" i="2"/>
  <c r="R9" i="2" s="1"/>
  <c r="R35" i="2" s="1"/>
  <c r="R19" i="3"/>
  <c r="S23" i="3"/>
  <c r="S13" i="7" s="1"/>
  <c r="S10" i="7" s="1"/>
  <c r="S28" i="2" s="1"/>
  <c r="S13" i="3"/>
  <c r="S7" i="6" s="1"/>
  <c r="S10" i="6" s="1"/>
  <c r="S16" i="2" s="1"/>
  <c r="AJ9" i="3"/>
  <c r="AJ6" i="6" s="1"/>
  <c r="S27" i="2" l="1"/>
  <c r="S22" i="2" s="1"/>
  <c r="R37" i="2"/>
  <c r="R39" i="2" s="1"/>
  <c r="AH19" i="6"/>
  <c r="AH20" i="2" s="1"/>
  <c r="AI18" i="6"/>
  <c r="AI19" i="6" s="1"/>
  <c r="AI20" i="2" s="1"/>
  <c r="S14" i="2"/>
  <c r="AH16" i="6"/>
  <c r="AH19" i="2" s="1"/>
  <c r="AI15" i="6"/>
  <c r="AI16" i="6" s="1"/>
  <c r="AI19" i="2" s="1"/>
  <c r="AK11" i="3"/>
  <c r="AJ7" i="2"/>
  <c r="S6" i="2"/>
  <c r="S45" i="2" s="1"/>
  <c r="T14" i="3"/>
  <c r="T25" i="3" s="1"/>
  <c r="T24" i="3" s="1"/>
  <c r="S20" i="3"/>
  <c r="T17" i="3"/>
  <c r="T15" i="3" s="1"/>
  <c r="AJ18" i="6" l="1"/>
  <c r="AJ19" i="6" s="1"/>
  <c r="AJ20" i="2" s="1"/>
  <c r="T21" i="3"/>
  <c r="T12" i="2" s="1"/>
  <c r="T8" i="6"/>
  <c r="T12" i="6" s="1"/>
  <c r="T13" i="6" s="1"/>
  <c r="T18" i="2" s="1"/>
  <c r="AJ15" i="6"/>
  <c r="AJ16" i="6" s="1"/>
  <c r="AJ19" i="2" s="1"/>
  <c r="S11" i="2"/>
  <c r="S9" i="2" s="1"/>
  <c r="S35" i="2" s="1"/>
  <c r="S19" i="3"/>
  <c r="T23" i="3"/>
  <c r="T13" i="7" s="1"/>
  <c r="T10" i="7" s="1"/>
  <c r="T28" i="2" s="1"/>
  <c r="T13" i="3"/>
  <c r="T7" i="6" s="1"/>
  <c r="T10" i="6" s="1"/>
  <c r="T16" i="2" s="1"/>
  <c r="AK9" i="3"/>
  <c r="T27" i="2" l="1"/>
  <c r="T22" i="2" s="1"/>
  <c r="S37" i="2"/>
  <c r="S39" i="2" s="1"/>
  <c r="T14" i="2"/>
  <c r="AK7" i="2"/>
  <c r="AK6" i="6"/>
  <c r="T6" i="2"/>
  <c r="T45" i="2" s="1"/>
  <c r="U14" i="3"/>
  <c r="U25" i="3" s="1"/>
  <c r="U24" i="3" s="1"/>
  <c r="U17" i="3"/>
  <c r="U15" i="3" s="1"/>
  <c r="T20" i="3"/>
  <c r="AL11" i="3"/>
  <c r="U21" i="3" l="1"/>
  <c r="U12" i="2" s="1"/>
  <c r="U8" i="6"/>
  <c r="U12" i="6" s="1"/>
  <c r="U13" i="6" s="1"/>
  <c r="U18" i="2" s="1"/>
  <c r="AK15" i="6"/>
  <c r="AK16" i="6" s="1"/>
  <c r="AK19" i="2" s="1"/>
  <c r="AK18" i="6"/>
  <c r="AK19" i="6" s="1"/>
  <c r="AK20" i="2" s="1"/>
  <c r="T11" i="2"/>
  <c r="T19" i="3"/>
  <c r="U23" i="3"/>
  <c r="U13" i="7" s="1"/>
  <c r="U10" i="7" s="1"/>
  <c r="U28" i="2" s="1"/>
  <c r="U13" i="3"/>
  <c r="U7" i="6" s="1"/>
  <c r="U10" i="6" s="1"/>
  <c r="U16" i="2" s="1"/>
  <c r="T9" i="2"/>
  <c r="T35" i="2" s="1"/>
  <c r="AL9" i="3"/>
  <c r="U27" i="2" l="1"/>
  <c r="U22" i="2" s="1"/>
  <c r="T37" i="2"/>
  <c r="T39" i="2" s="1"/>
  <c r="U14" i="2"/>
  <c r="AL7" i="2"/>
  <c r="AL6" i="6"/>
  <c r="U6" i="2"/>
  <c r="U45" i="2" s="1"/>
  <c r="U20" i="3"/>
  <c r="V17" i="3"/>
  <c r="V15" i="3" s="1"/>
  <c r="V8" i="6" s="1"/>
  <c r="V12" i="6" s="1"/>
  <c r="V13" i="6" s="1"/>
  <c r="V18" i="2" s="1"/>
  <c r="V14" i="3"/>
  <c r="V25" i="3" s="1"/>
  <c r="V24" i="3" s="1"/>
  <c r="AL15" i="6" l="1"/>
  <c r="AL16" i="6" s="1"/>
  <c r="AL19" i="2" s="1"/>
  <c r="AL18" i="6"/>
  <c r="AL19" i="6" s="1"/>
  <c r="AL20" i="2" s="1"/>
  <c r="U11" i="2"/>
  <c r="U9" i="2" s="1"/>
  <c r="U35" i="2" s="1"/>
  <c r="U19" i="3"/>
  <c r="V23" i="3"/>
  <c r="V13" i="7" s="1"/>
  <c r="V10" i="7" s="1"/>
  <c r="V28" i="2" s="1"/>
  <c r="V21" i="3"/>
  <c r="V12" i="2" s="1"/>
  <c r="V13" i="3"/>
  <c r="V7" i="6" s="1"/>
  <c r="V10" i="6" s="1"/>
  <c r="V16" i="2" s="1"/>
  <c r="V14" i="2" s="1"/>
  <c r="V27" i="2" l="1"/>
  <c r="V22" i="2" s="1"/>
  <c r="V45" i="2"/>
  <c r="U37" i="2"/>
  <c r="U39" i="2" s="1"/>
  <c r="W17" i="3"/>
  <c r="W15" i="3" s="1"/>
  <c r="W8" i="6" s="1"/>
  <c r="W12" i="6" s="1"/>
  <c r="W13" i="6" s="1"/>
  <c r="W18" i="2" s="1"/>
  <c r="V6" i="2"/>
  <c r="W14" i="3"/>
  <c r="W25" i="3" s="1"/>
  <c r="W24" i="3" s="1"/>
  <c r="V20" i="3"/>
  <c r="V11" i="2" l="1"/>
  <c r="V9" i="2" s="1"/>
  <c r="V35" i="2" s="1"/>
  <c r="V19" i="3"/>
  <c r="W23" i="3"/>
  <c r="W13" i="7" s="1"/>
  <c r="W10" i="7" s="1"/>
  <c r="W28" i="2" s="1"/>
  <c r="W21" i="3"/>
  <c r="W12" i="2" s="1"/>
  <c r="W13" i="3"/>
  <c r="W7" i="6" s="1"/>
  <c r="W10" i="6" s="1"/>
  <c r="W16" i="2" s="1"/>
  <c r="W14" i="2" s="1"/>
  <c r="W27" i="2" l="1"/>
  <c r="W22" i="2" s="1"/>
  <c r="V37" i="2"/>
  <c r="V39" i="2" s="1"/>
  <c r="W6" i="2"/>
  <c r="W45" i="2" s="1"/>
  <c r="X14" i="3"/>
  <c r="X25" i="3" s="1"/>
  <c r="X24" i="3" s="1"/>
  <c r="X17" i="3"/>
  <c r="X15" i="3" s="1"/>
  <c r="X8" i="6" s="1"/>
  <c r="X12" i="6" s="1"/>
  <c r="X13" i="6" s="1"/>
  <c r="X18" i="2" s="1"/>
  <c r="W20" i="3"/>
  <c r="W11" i="2" l="1"/>
  <c r="W9" i="2" s="1"/>
  <c r="W35" i="2" s="1"/>
  <c r="W19" i="3"/>
  <c r="X23" i="3"/>
  <c r="X13" i="7" s="1"/>
  <c r="X10" i="7" s="1"/>
  <c r="X28" i="2" s="1"/>
  <c r="X21" i="3"/>
  <c r="X12" i="2" s="1"/>
  <c r="X13" i="3"/>
  <c r="X7" i="6" s="1"/>
  <c r="X10" i="6" s="1"/>
  <c r="X16" i="2" s="1"/>
  <c r="X14" i="2" s="1"/>
  <c r="X27" i="2" l="1"/>
  <c r="X22" i="2" s="1"/>
  <c r="W37" i="2"/>
  <c r="W39" i="2" s="1"/>
  <c r="Y17" i="3"/>
  <c r="Y15" i="3" s="1"/>
  <c r="Y8" i="6" s="1"/>
  <c r="Y12" i="6" s="1"/>
  <c r="Y13" i="6" s="1"/>
  <c r="Y18" i="2" s="1"/>
  <c r="X6" i="2"/>
  <c r="X45" i="2" s="1"/>
  <c r="X20" i="3"/>
  <c r="Y14" i="3"/>
  <c r="Y25" i="3" s="1"/>
  <c r="Y24" i="3" s="1"/>
  <c r="X11" i="2" l="1"/>
  <c r="X9" i="2" s="1"/>
  <c r="X35" i="2" s="1"/>
  <c r="X19" i="3"/>
  <c r="Y23" i="3"/>
  <c r="Y13" i="7" s="1"/>
  <c r="Y10" i="7" s="1"/>
  <c r="Y28" i="2" s="1"/>
  <c r="Y21" i="3"/>
  <c r="Y12" i="2" s="1"/>
  <c r="Y13" i="3"/>
  <c r="Y27" i="2" l="1"/>
  <c r="Y22" i="2" s="1"/>
  <c r="X37" i="2"/>
  <c r="X39" i="2" s="1"/>
  <c r="Y20" i="3"/>
  <c r="Y11" i="2" s="1"/>
  <c r="Y9" i="2" s="1"/>
  <c r="Y7" i="6"/>
  <c r="Y10" i="6" s="1"/>
  <c r="Y16" i="2" s="1"/>
  <c r="Y14" i="2" s="1"/>
  <c r="Y6" i="2"/>
  <c r="Y45" i="2" s="1"/>
  <c r="Z17" i="3"/>
  <c r="Z15" i="3" s="1"/>
  <c r="Z8" i="6" s="1"/>
  <c r="Z12" i="6" s="1"/>
  <c r="Z13" i="6" s="1"/>
  <c r="Z18" i="2" s="1"/>
  <c r="Z14" i="3"/>
  <c r="Z25" i="3" s="1"/>
  <c r="Z24" i="3" s="1"/>
  <c r="Y35" i="2" l="1"/>
  <c r="Y19" i="3"/>
  <c r="Z23" i="3"/>
  <c r="Z13" i="7" s="1"/>
  <c r="Z10" i="7" s="1"/>
  <c r="Z28" i="2" s="1"/>
  <c r="Z21" i="3"/>
  <c r="Z12" i="2" s="1"/>
  <c r="Z13" i="3"/>
  <c r="Z27" i="2" l="1"/>
  <c r="Z22" i="2" s="1"/>
  <c r="Y37" i="2"/>
  <c r="Y39" i="2" s="1"/>
  <c r="AA17" i="3"/>
  <c r="AA15" i="3" s="1"/>
  <c r="AA23" i="3" s="1"/>
  <c r="AA13" i="7" s="1"/>
  <c r="AA10" i="7" s="1"/>
  <c r="AA28" i="2" s="1"/>
  <c r="Z7" i="6"/>
  <c r="Z10" i="6" s="1"/>
  <c r="Z16" i="2" s="1"/>
  <c r="Z14" i="2" s="1"/>
  <c r="Z6" i="2"/>
  <c r="Z45" i="2" s="1"/>
  <c r="AA14" i="3"/>
  <c r="AA25" i="3" s="1"/>
  <c r="AA24" i="3" s="1"/>
  <c r="Z20" i="3"/>
  <c r="AA27" i="2" l="1"/>
  <c r="AA22" i="2" s="1"/>
  <c r="AA21" i="3"/>
  <c r="AA12" i="2" s="1"/>
  <c r="AA8" i="6"/>
  <c r="AA12" i="6" s="1"/>
  <c r="AA13" i="6" s="1"/>
  <c r="AA18" i="2" s="1"/>
  <c r="AA13" i="3"/>
  <c r="AA7" i="6" s="1"/>
  <c r="AA10" i="6" s="1"/>
  <c r="AA16" i="2" s="1"/>
  <c r="Z11" i="2"/>
  <c r="Z9" i="2" s="1"/>
  <c r="Z35" i="2" s="1"/>
  <c r="Z19" i="3"/>
  <c r="Z37" i="2" l="1"/>
  <c r="Z39" i="2" s="1"/>
  <c r="AA14" i="2"/>
  <c r="AB17" i="3"/>
  <c r="AB15" i="3" s="1"/>
  <c r="AB14" i="3"/>
  <c r="AB25" i="3" s="1"/>
  <c r="AB24" i="3" s="1"/>
  <c r="AA6" i="2"/>
  <c r="AA45" i="2" s="1"/>
  <c r="AA20" i="3"/>
  <c r="AA19" i="3" s="1"/>
  <c r="AA11" i="2" l="1"/>
  <c r="AA9" i="2" s="1"/>
  <c r="AA35" i="2" s="1"/>
  <c r="AA37" i="2" s="1"/>
  <c r="AA39" i="2" s="1"/>
  <c r="AB21" i="3"/>
  <c r="AB12" i="2" s="1"/>
  <c r="AB8" i="6"/>
  <c r="AB12" i="6" s="1"/>
  <c r="AB13" i="6" s="1"/>
  <c r="AB18" i="2" s="1"/>
  <c r="AB23" i="3"/>
  <c r="AB13" i="7" s="1"/>
  <c r="AB10" i="7" s="1"/>
  <c r="AB28" i="2" s="1"/>
  <c r="AB13" i="3"/>
  <c r="AB7" i="6" s="1"/>
  <c r="AB10" i="6" s="1"/>
  <c r="AB16" i="2" s="1"/>
  <c r="AB27" i="2" l="1"/>
  <c r="AB22" i="2" s="1"/>
  <c r="AB14" i="2"/>
  <c r="AC17" i="3"/>
  <c r="AC15" i="3" s="1"/>
  <c r="AC8" i="6" s="1"/>
  <c r="AC12" i="6" s="1"/>
  <c r="AC13" i="6" s="1"/>
  <c r="AC18" i="2" s="1"/>
  <c r="AB20" i="3"/>
  <c r="AB11" i="2" s="1"/>
  <c r="AB9" i="2" s="1"/>
  <c r="AC14" i="3"/>
  <c r="AC25" i="3" s="1"/>
  <c r="AC24" i="3" s="1"/>
  <c r="AB6" i="2"/>
  <c r="AB45" i="2" s="1"/>
  <c r="AB35" i="2" l="1"/>
  <c r="AB37" i="2" s="1"/>
  <c r="AB39" i="2" s="1"/>
  <c r="AC13" i="3"/>
  <c r="AC7" i="6" s="1"/>
  <c r="AC10" i="6" s="1"/>
  <c r="AC16" i="2" s="1"/>
  <c r="AC14" i="2" s="1"/>
  <c r="AC21" i="3"/>
  <c r="AC12" i="2" s="1"/>
  <c r="AC23" i="3"/>
  <c r="AC13" i="7" s="1"/>
  <c r="AC10" i="7" s="1"/>
  <c r="AC28" i="2" s="1"/>
  <c r="AB19" i="3"/>
  <c r="AC27" i="2" l="1"/>
  <c r="AC22" i="2" s="1"/>
  <c r="AC6" i="2"/>
  <c r="AC45" i="2" s="1"/>
  <c r="AC20" i="3"/>
  <c r="AC11" i="2" s="1"/>
  <c r="AC9" i="2" s="1"/>
  <c r="AD14" i="3"/>
  <c r="AD25" i="3" s="1"/>
  <c r="AD24" i="3" s="1"/>
  <c r="AD17" i="3"/>
  <c r="AD15" i="3" s="1"/>
  <c r="AD8" i="6" s="1"/>
  <c r="AD12" i="6" s="1"/>
  <c r="AD13" i="6" s="1"/>
  <c r="AD18" i="2" s="1"/>
  <c r="AC35" i="2" l="1"/>
  <c r="AC37" i="2"/>
  <c r="AC39" i="2" s="1"/>
  <c r="AC19" i="3"/>
  <c r="AD21" i="3"/>
  <c r="AD12" i="2" s="1"/>
  <c r="AD23" i="3"/>
  <c r="AD13" i="7" s="1"/>
  <c r="AD10" i="7" s="1"/>
  <c r="AD28" i="2" s="1"/>
  <c r="AD13" i="3"/>
  <c r="AD7" i="6" s="1"/>
  <c r="AD10" i="6" s="1"/>
  <c r="AD16" i="2" s="1"/>
  <c r="AD14" i="2" s="1"/>
  <c r="AD27" i="2" l="1"/>
  <c r="AD22" i="2" s="1"/>
  <c r="AD20" i="3"/>
  <c r="AD19" i="3" s="1"/>
  <c r="AE17" i="3"/>
  <c r="AE15" i="3" s="1"/>
  <c r="AE21" i="3" s="1"/>
  <c r="AE12" i="2" s="1"/>
  <c r="AE14" i="3"/>
  <c r="AE25" i="3" s="1"/>
  <c r="AE24" i="3" s="1"/>
  <c r="AD6" i="2"/>
  <c r="AD45" i="2" s="1"/>
  <c r="AD11" i="2" l="1"/>
  <c r="AD9" i="2" s="1"/>
  <c r="AD35" i="2" s="1"/>
  <c r="AE8" i="6"/>
  <c r="AE12" i="6" s="1"/>
  <c r="AE13" i="6" s="1"/>
  <c r="AE18" i="2" s="1"/>
  <c r="AE23" i="3"/>
  <c r="AE13" i="7" s="1"/>
  <c r="AE10" i="7" s="1"/>
  <c r="AE28" i="2" s="1"/>
  <c r="AE13" i="3"/>
  <c r="AE7" i="6" s="1"/>
  <c r="AE10" i="6" s="1"/>
  <c r="AE16" i="2" s="1"/>
  <c r="AE27" i="2" l="1"/>
  <c r="AE22" i="2" s="1"/>
  <c r="AE14" i="2"/>
  <c r="AD37" i="2"/>
  <c r="AD39" i="2" s="1"/>
  <c r="AE20" i="3"/>
  <c r="AE11" i="2" s="1"/>
  <c r="AE9" i="2" s="1"/>
  <c r="AF17" i="3"/>
  <c r="AF15" i="3" s="1"/>
  <c r="AF21" i="3" s="1"/>
  <c r="AF12" i="2" s="1"/>
  <c r="AF14" i="3"/>
  <c r="AF25" i="3" s="1"/>
  <c r="AF24" i="3" s="1"/>
  <c r="AE6" i="2"/>
  <c r="AE45" i="2" s="1"/>
  <c r="AE35" i="2" l="1"/>
  <c r="AE37" i="2" s="1"/>
  <c r="AE39" i="2" s="1"/>
  <c r="AF13" i="3"/>
  <c r="AF7" i="6" s="1"/>
  <c r="AF10" i="6" s="1"/>
  <c r="AF16" i="2" s="1"/>
  <c r="AE19" i="3"/>
  <c r="AF8" i="6"/>
  <c r="AF12" i="6" s="1"/>
  <c r="AF13" i="6" s="1"/>
  <c r="AF18" i="2" s="1"/>
  <c r="AF23" i="3"/>
  <c r="AF13" i="7" s="1"/>
  <c r="AF10" i="7" s="1"/>
  <c r="AF28" i="2" s="1"/>
  <c r="AF27" i="2" l="1"/>
  <c r="AF22" i="2" s="1"/>
  <c r="AF45" i="2"/>
  <c r="AF20" i="3"/>
  <c r="AF19" i="3" s="1"/>
  <c r="AG14" i="3"/>
  <c r="AG25" i="3" s="1"/>
  <c r="AG24" i="3" s="1"/>
  <c r="AF6" i="2"/>
  <c r="AG17" i="3"/>
  <c r="AG15" i="3" s="1"/>
  <c r="AG21" i="3" s="1"/>
  <c r="AG12" i="2" s="1"/>
  <c r="AF14" i="2"/>
  <c r="AF11" i="2" l="1"/>
  <c r="AF9" i="2" s="1"/>
  <c r="AF35" i="2" s="1"/>
  <c r="AF37" i="2" s="1"/>
  <c r="AF39" i="2" s="1"/>
  <c r="AG13" i="3"/>
  <c r="AG7" i="6" s="1"/>
  <c r="AG10" i="6" s="1"/>
  <c r="AG16" i="2" s="1"/>
  <c r="AG8" i="6"/>
  <c r="AG12" i="6" s="1"/>
  <c r="AG13" i="6" s="1"/>
  <c r="AG18" i="2" s="1"/>
  <c r="AG23" i="3"/>
  <c r="AG13" i="7" s="1"/>
  <c r="AG10" i="7" s="1"/>
  <c r="AG28" i="2" s="1"/>
  <c r="AG27" i="2" l="1"/>
  <c r="AG22" i="2" s="1"/>
  <c r="AH17" i="3"/>
  <c r="AH15" i="3" s="1"/>
  <c r="AH8" i="6" s="1"/>
  <c r="AH12" i="6" s="1"/>
  <c r="AH13" i="6" s="1"/>
  <c r="AH18" i="2" s="1"/>
  <c r="AG6" i="2"/>
  <c r="AG45" i="2" s="1"/>
  <c r="AH14" i="3"/>
  <c r="AH25" i="3" s="1"/>
  <c r="AH24" i="3" s="1"/>
  <c r="AG20" i="3"/>
  <c r="AG11" i="2" s="1"/>
  <c r="AG9" i="2" s="1"/>
  <c r="AG14" i="2"/>
  <c r="AH21" i="3" l="1"/>
  <c r="AH12" i="2" s="1"/>
  <c r="AH23" i="3"/>
  <c r="AH13" i="7" s="1"/>
  <c r="AH10" i="7" s="1"/>
  <c r="AH28" i="2" s="1"/>
  <c r="AG19" i="3"/>
  <c r="AH13" i="3"/>
  <c r="AH7" i="6" s="1"/>
  <c r="AH10" i="6" s="1"/>
  <c r="AH16" i="2" s="1"/>
  <c r="AH14" i="2" s="1"/>
  <c r="AG35" i="2"/>
  <c r="AG37" i="2" s="1"/>
  <c r="AG39" i="2" s="1"/>
  <c r="AH27" i="2" l="1"/>
  <c r="AH22" i="2" s="1"/>
  <c r="AH6" i="2"/>
  <c r="AH45" i="2" s="1"/>
  <c r="AI17" i="3"/>
  <c r="AI15" i="3" s="1"/>
  <c r="AI8" i="6" s="1"/>
  <c r="AI12" i="6" s="1"/>
  <c r="AI13" i="6" s="1"/>
  <c r="AI18" i="2" s="1"/>
  <c r="AH20" i="3"/>
  <c r="AH11" i="2" s="1"/>
  <c r="AH9" i="2" s="1"/>
  <c r="AI14" i="3"/>
  <c r="AI25" i="3" s="1"/>
  <c r="AI24" i="3" s="1"/>
  <c r="AH35" i="2" l="1"/>
  <c r="AH19" i="3"/>
  <c r="AI21" i="3"/>
  <c r="AI12" i="2" s="1"/>
  <c r="AI13" i="3"/>
  <c r="AI7" i="6" s="1"/>
  <c r="AI10" i="6" s="1"/>
  <c r="AI16" i="2" s="1"/>
  <c r="AI14" i="2" s="1"/>
  <c r="AI23" i="3"/>
  <c r="AI13" i="7" s="1"/>
  <c r="AI10" i="7" s="1"/>
  <c r="AI28" i="2" s="1"/>
  <c r="AH37" i="2"/>
  <c r="AH39" i="2" s="1"/>
  <c r="AI27" i="2" l="1"/>
  <c r="AI22" i="2" s="1"/>
  <c r="AJ17" i="3"/>
  <c r="AJ15" i="3" s="1"/>
  <c r="AJ8" i="6" s="1"/>
  <c r="AJ12" i="6" s="1"/>
  <c r="AJ13" i="6" s="1"/>
  <c r="AJ18" i="2" s="1"/>
  <c r="AI6" i="2"/>
  <c r="AI45" i="2" s="1"/>
  <c r="AJ14" i="3"/>
  <c r="AJ25" i="3" s="1"/>
  <c r="AJ24" i="3" s="1"/>
  <c r="AI20" i="3"/>
  <c r="AI11" i="2" s="1"/>
  <c r="AI9" i="2" s="1"/>
  <c r="AI35" i="2" s="1"/>
  <c r="AJ23" i="3" l="1"/>
  <c r="AJ13" i="7" s="1"/>
  <c r="AJ10" i="7" s="1"/>
  <c r="AJ28" i="2" s="1"/>
  <c r="AJ21" i="3"/>
  <c r="AJ12" i="2" s="1"/>
  <c r="AJ13" i="3"/>
  <c r="AJ7" i="6" s="1"/>
  <c r="AJ10" i="6" s="1"/>
  <c r="AJ16" i="2" s="1"/>
  <c r="AJ14" i="2" s="1"/>
  <c r="AI19" i="3"/>
  <c r="AI37" i="2"/>
  <c r="AI39" i="2" s="1"/>
  <c r="AJ27" i="2" l="1"/>
  <c r="AJ22" i="2" s="1"/>
  <c r="AK17" i="3"/>
  <c r="AK15" i="3" s="1"/>
  <c r="AK8" i="6" s="1"/>
  <c r="AK12" i="6" s="1"/>
  <c r="AK13" i="6" s="1"/>
  <c r="AK18" i="2" s="1"/>
  <c r="AJ6" i="2"/>
  <c r="AJ45" i="2" s="1"/>
  <c r="AK14" i="3"/>
  <c r="AK25" i="3" s="1"/>
  <c r="AK24" i="3" s="1"/>
  <c r="AJ20" i="3"/>
  <c r="AJ11" i="2" s="1"/>
  <c r="AJ9" i="2" s="1"/>
  <c r="AJ35" i="2" s="1"/>
  <c r="AJ19" i="3" l="1"/>
  <c r="AK13" i="3"/>
  <c r="AK7" i="6" s="1"/>
  <c r="AK10" i="6" s="1"/>
  <c r="AK16" i="2" s="1"/>
  <c r="AK14" i="2" s="1"/>
  <c r="AK21" i="3"/>
  <c r="AK12" i="2" s="1"/>
  <c r="AK23" i="3"/>
  <c r="AK13" i="7" s="1"/>
  <c r="AK10" i="7" s="1"/>
  <c r="AK28" i="2" s="1"/>
  <c r="AJ37" i="2"/>
  <c r="AJ39" i="2" s="1"/>
  <c r="AK27" i="2" l="1"/>
  <c r="AK22" i="2" s="1"/>
  <c r="AK45" i="2"/>
  <c r="AL14" i="3"/>
  <c r="AL25" i="3" s="1"/>
  <c r="AL24" i="3" s="1"/>
  <c r="AL17" i="3"/>
  <c r="AL15" i="3" s="1"/>
  <c r="AL23" i="3" s="1"/>
  <c r="AL13" i="7" s="1"/>
  <c r="AL10" i="7" s="1"/>
  <c r="AL28" i="2" s="1"/>
  <c r="AK6" i="2"/>
  <c r="AK20" i="3"/>
  <c r="AK11" i="2" s="1"/>
  <c r="AK9" i="2" s="1"/>
  <c r="AK35" i="2" s="1"/>
  <c r="AL13" i="3"/>
  <c r="AL7" i="6" s="1"/>
  <c r="AL10" i="6" s="1"/>
  <c r="AL16" i="2" s="1"/>
  <c r="AL8" i="6"/>
  <c r="AL12" i="6" s="1"/>
  <c r="AL13" i="6" s="1"/>
  <c r="AL18" i="2" s="1"/>
  <c r="AL27" i="2" l="1"/>
  <c r="AL22" i="2" s="1"/>
  <c r="AL21" i="3"/>
  <c r="AL12" i="2" s="1"/>
  <c r="AK19" i="3"/>
  <c r="AL20" i="3"/>
  <c r="AK37" i="2"/>
  <c r="AK39" i="2" s="1"/>
  <c r="AL6" i="2"/>
  <c r="AL45" i="2" s="1"/>
  <c r="AL14" i="2"/>
  <c r="AL19" i="3" l="1"/>
  <c r="AL11" i="2"/>
  <c r="AL9" i="2" s="1"/>
  <c r="AL35" i="2" s="1"/>
  <c r="AL37" i="2" l="1"/>
  <c r="AL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Shalva Chorgoliani</author>
  </authors>
  <commentList>
    <comment ref="C6" authorId="0" shapeId="0" xr:uid="{A1E2AA3E-ABE7-454A-86C6-36C883139027}">
      <text>
        <r>
          <rPr>
            <b/>
            <sz val="10"/>
            <color rgb="FF000000"/>
            <rFont val="Tahoma"/>
            <family val="2"/>
          </rPr>
          <t>Shalva Chorgoliani: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Manual imputs assuming no leads generated in the first month and the leads generated in month 1</t>
        </r>
      </text>
    </comment>
  </commentList>
</comments>
</file>

<file path=xl/sharedStrings.xml><?xml version="1.0" encoding="utf-8"?>
<sst xmlns="http://schemas.openxmlformats.org/spreadsheetml/2006/main" count="327" uniqueCount="208">
  <si>
    <t>Name</t>
  </si>
  <si>
    <t>Description</t>
  </si>
  <si>
    <t>Sale mix (by units)</t>
  </si>
  <si>
    <t>Lens</t>
  </si>
  <si>
    <t>Real time edge vision for inventory awareness</t>
  </si>
  <si>
    <t>Robotic Picking</t>
  </si>
  <si>
    <t>Automated sortation for batch picking and returns</t>
  </si>
  <si>
    <t>Autonomous picking across thousands of SKUs</t>
  </si>
  <si>
    <t xml:space="preserve">Putwall Automation </t>
  </si>
  <si>
    <t>AI human like dexterity. Pickingm sorting, and packaging</t>
  </si>
  <si>
    <t>Return Handling</t>
  </si>
  <si>
    <t>Autimated inspection and sorting of returns</t>
  </si>
  <si>
    <t>Humanoid (Cortex)</t>
  </si>
  <si>
    <t>Comment</t>
  </si>
  <si>
    <t>Cheap, deployed everywhere</t>
  </si>
  <si>
    <t>core product that every wharehouse needs</t>
  </si>
  <si>
    <t>only needed in large ops</t>
  </si>
  <si>
    <t>common but secondary</t>
  </si>
  <si>
    <t>early and experimental</t>
  </si>
  <si>
    <t>*Price assumtions are based on the estimates from https://robotomated.com/learn/cost/warehouse-robot-cost-guide</t>
  </si>
  <si>
    <t>Price (EUR/month)*</t>
  </si>
  <si>
    <t>Revenue</t>
  </si>
  <si>
    <t>M1</t>
  </si>
  <si>
    <t>M2</t>
  </si>
  <si>
    <t>M3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</si>
  <si>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</si>
  <si>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</si>
  <si>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</si>
  <si>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</si>
  <si>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</si>
  <si>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</si>
  <si>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</si>
  <si>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</si>
  <si>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</si>
  <si>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</si>
  <si>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</si>
  <si>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</si>
  <si>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</si>
  <si>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</si>
  <si>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</si>
  <si>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</si>
  <si>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</si>
  <si>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</si>
  <si>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</si>
  <si>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</si>
  <si>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</si>
  <si>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</si>
  <si>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</si>
  <si>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</si>
  <si>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</si>
  <si>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</si>
  <si>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</si>
  <si>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</si>
  <si>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</si>
  <si>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</si>
  <si>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</si>
  <si>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</si>
  <si>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Assumtions</t>
  </si>
  <si>
    <t>Churn (monthly)</t>
  </si>
  <si>
    <t xml:space="preserve">Initial robots per customer </t>
  </si>
  <si>
    <t>Average revenue per Robot</t>
  </si>
  <si>
    <t>M4</t>
  </si>
  <si>
    <t>Leads Generated</t>
  </si>
  <si>
    <t>Cummulative # leads</t>
  </si>
  <si>
    <t>Leads Generation growth rate (monthly)</t>
  </si>
  <si>
    <t>Active Enterprises</t>
  </si>
  <si>
    <t>Active robots</t>
  </si>
  <si>
    <t>Robots expansion rate (monthly)</t>
  </si>
  <si>
    <t>Installation cost</t>
  </si>
  <si>
    <t>One time cost for installing a robot</t>
  </si>
  <si>
    <t>Product Line and Prices</t>
  </si>
  <si>
    <t>Subscription revenue</t>
  </si>
  <si>
    <t>Installation revenue</t>
  </si>
  <si>
    <t>Leads/ Sales agent / month</t>
  </si>
  <si>
    <t>Sales agents required</t>
  </si>
  <si>
    <t>New bookings</t>
  </si>
  <si>
    <t>Churned enetrprises</t>
  </si>
  <si>
    <t>Churned robots</t>
  </si>
  <si>
    <t>New enterprises</t>
  </si>
  <si>
    <t>Reacurring robots</t>
  </si>
  <si>
    <t>Reacurring revenue</t>
  </si>
  <si>
    <t>New enterprise installments</t>
  </si>
  <si>
    <t>Total New robots</t>
  </si>
  <si>
    <t>Expansion installments</t>
  </si>
  <si>
    <t>Lead Costs (Advertising)</t>
  </si>
  <si>
    <t>Base salary</t>
  </si>
  <si>
    <t>Comission</t>
  </si>
  <si>
    <t>Commisiion per new robot</t>
  </si>
  <si>
    <t>Active Robots</t>
  </si>
  <si>
    <t>Value</t>
  </si>
  <si>
    <t>Metric</t>
  </si>
  <si>
    <t>Sales and Customer Acqusition</t>
  </si>
  <si>
    <t>Cost per lead</t>
  </si>
  <si>
    <t>% by which leads generation growth as adds start working</t>
  </si>
  <si>
    <t>Leads that one sales agent can contact a month</t>
  </si>
  <si>
    <t>Base monthly salary for the sales representative</t>
  </si>
  <si>
    <t>Commission that a sales person gets per one robot installed</t>
  </si>
  <si>
    <t>Conversion rate</t>
  </si>
  <si>
    <t>% of lead enterprises that are converted into clients</t>
  </si>
  <si>
    <t>Churn rate of enterprises cancelling contracts. When an enterprise cancells a contract it cancells all robots that it owns</t>
  </si>
  <si>
    <t>When a new enterprise is aquired it receives this amount of robots from the beginning</t>
  </si>
  <si>
    <t xml:space="preserve">Existing enterprise clients purchase and install new robots every month </t>
  </si>
  <si>
    <t>Average cost of one robot based on price and sale mix</t>
  </si>
  <si>
    <t>Cost of Goods Sold</t>
  </si>
  <si>
    <t>Active Enterprise Customers</t>
  </si>
  <si>
    <t>Operating Expenses</t>
  </si>
  <si>
    <t>Installments revenue</t>
  </si>
  <si>
    <t>Total Revenue</t>
  </si>
  <si>
    <t>Deployments/ engeneers/ month</t>
  </si>
  <si>
    <t>Enterprises/ customer support/ month</t>
  </si>
  <si>
    <t>The amount of client enterprises one customer support representatice can handle</t>
  </si>
  <si>
    <t>Salary (engeneer) (monthly)</t>
  </si>
  <si>
    <t>Base monthly salary of an engeneer deploying robots</t>
  </si>
  <si>
    <t>Salary (customer support) (monthly)</t>
  </si>
  <si>
    <t>Base monthly salary of a customer support agent</t>
  </si>
  <si>
    <t>Cloud/ Compute infrastructure (per robot)</t>
  </si>
  <si>
    <t>Enterprises/ technical support/ month</t>
  </si>
  <si>
    <t>The amount of client enterprises one technical support team member can handle</t>
  </si>
  <si>
    <t>Salary (technical support) (monthly)</t>
  </si>
  <si>
    <t>Base monthly salary of a technical support tream member</t>
  </si>
  <si>
    <t>Cloud/ Compute infrastructure</t>
  </si>
  <si>
    <t xml:space="preserve">Deployment Engeneers </t>
  </si>
  <si>
    <t xml:space="preserve">Customer Support </t>
  </si>
  <si>
    <t>Technical Support</t>
  </si>
  <si>
    <t>Active enerprises</t>
  </si>
  <si>
    <t>Deployment engeneers required</t>
  </si>
  <si>
    <t>New robots</t>
  </si>
  <si>
    <t>Deployment engeneers salaries</t>
  </si>
  <si>
    <t>Cutomer support team required</t>
  </si>
  <si>
    <t>Cutomer support team salary</t>
  </si>
  <si>
    <t>Technical support team required</t>
  </si>
  <si>
    <t>Technical support team salary</t>
  </si>
  <si>
    <t>Operative Expenses</t>
  </si>
  <si>
    <t>Rent</t>
  </si>
  <si>
    <t>Office and administration</t>
  </si>
  <si>
    <t>Office rent costs per month</t>
  </si>
  <si>
    <t>Administrative costs per month</t>
  </si>
  <si>
    <t>Initial RnD team</t>
  </si>
  <si>
    <t>Sales agents salary (monthly)</t>
  </si>
  <si>
    <t>RnD team salary</t>
  </si>
  <si>
    <t>Base monthly salary for the RnD team</t>
  </si>
  <si>
    <t>Executive and Leadership</t>
  </si>
  <si>
    <t>Leadership monthly salaries</t>
  </si>
  <si>
    <t>Executive and Leadership salary (monthly)</t>
  </si>
  <si>
    <t>Other personel</t>
  </si>
  <si>
    <t>Other personel monthly salary</t>
  </si>
  <si>
    <t>Other Personel monthly salary</t>
  </si>
  <si>
    <t>Sales Agents Salary</t>
  </si>
  <si>
    <t>RnD Team Salaries</t>
  </si>
  <si>
    <t xml:space="preserve">Executive and leadership Salaries </t>
  </si>
  <si>
    <t>Other Personel Salaries</t>
  </si>
  <si>
    <t xml:space="preserve">Rent </t>
  </si>
  <si>
    <t>Office and Administration</t>
  </si>
  <si>
    <t>Salaries</t>
  </si>
  <si>
    <t>RnD team</t>
  </si>
  <si>
    <t xml:space="preserve">Leadership </t>
  </si>
  <si>
    <t>Other Personel</t>
  </si>
  <si>
    <t>Sales team</t>
  </si>
  <si>
    <t>Advertisement</t>
  </si>
  <si>
    <t>EBITDA</t>
  </si>
  <si>
    <t>Taxes</t>
  </si>
  <si>
    <t>Other Assumptions</t>
  </si>
  <si>
    <t>Effective tax rate</t>
  </si>
  <si>
    <t>Applicable tax rate on profit</t>
  </si>
  <si>
    <t>NET INCOME</t>
  </si>
  <si>
    <t>- an assumption, changing it changes the inputs of the financial model</t>
  </si>
  <si>
    <t>- formula. Should not be changed</t>
  </si>
  <si>
    <t>Enterprise robotics buyers are a narrow audience of warehouse/logistics operators, requiring targeted LinkedIn, trade show, and industry media spend =&gt; CPL is naturally high compared to consumer or SMB SaaS.</t>
  </si>
  <si>
    <t>As ad campaigns mature and brand awareness builds, each euro of ad spend generates progressively more inbound</t>
  </si>
  <si>
    <t>Enterprise automation deals require extensive POC, ROI validation and multi-stakeholder sign-off, making 2% realistic</t>
  </si>
  <si>
    <t>Robotic picking is deeply embedded in warehouse operations, ripping it out has high switching costs.</t>
  </si>
  <si>
    <t>Enterprise warehouses typically automate multiple picking stations simultaneously at go-live rather than a single pilot unit, given integration costs and ROI only becomes compelling at meaningful scale.</t>
  </si>
  <si>
    <t>Once a client has live robots and sees ROI, adding incremental stations is low-friction.</t>
  </si>
  <si>
    <t>A single deployment engineer can install, configure and validate roughly 2 robots per week. Physical commissioning, WMS integration and operator training requires time per station.</t>
  </si>
  <si>
    <t>Enterprise clients require high-touch account management, especially in the first months post-deployment</t>
  </si>
  <si>
    <t>Competitive monthly gross salary for a robotics/software deployment engineer</t>
  </si>
  <si>
    <t>Slightly below engineering given less technical depth required</t>
  </si>
  <si>
    <t>Technical support agents handle live production incidents and remote robot interventions. Each enterprise can generate multiple simultaneous alerts, especially early post-deployment, capping capacity at ~2 accounts per agent.</t>
  </si>
  <si>
    <t>On par with deployment engineers: requires deep Cortex platform knowledge and ability to diagnose real-time robotics failures remotely under time pressure.</t>
  </si>
  <si>
    <t>Covers edge GPU amortisation; cloud inference and model update syncing; telemetry and image log storage; and remote monitoring/observability tooling</t>
  </si>
  <si>
    <t>Office space for a ~40–50 person team, including a physical robot test lab</t>
  </si>
  <si>
    <t>Covers consumables, IT infrastructure, internal software licences (CRM, ERP, communication tools), insurance and miscellaneous overhead</t>
  </si>
  <si>
    <t>Enterprise outreach involves deep research, personalised outreach and multi-touch follow-up =&gt; 5 qualified conversations per agent per month is realistic for cold outbound into senior logistics and operations decision-makers.</t>
  </si>
  <si>
    <t>Base salary component for a mid-market enterprise</t>
  </si>
  <si>
    <t>Performance-based incentive on each robot installed</t>
  </si>
  <si>
    <t>Core team of AI/ML researchers, robotics software engineers and computer vision specialists needed to maintain and advance the Cortex VLAM. Below 10 the model development and deployment pipeline stalls.</t>
  </si>
  <si>
    <t>Reflects the competitive salary required to attract and retain AI/ML engineers</t>
  </si>
  <si>
    <t>CEO, CTO, CFO and two VPs (Sales, Engineering)</t>
  </si>
  <si>
    <t>Reflects senior leadership compensation in a well-funded German deep-tech startup</t>
  </si>
  <si>
    <t>Finance, accounting, HR, legal liaison and project management</t>
  </si>
  <si>
    <t>Blended average across finance, HR and ops profiles</t>
  </si>
  <si>
    <t xml:space="preserve">Federal+state tax </t>
  </si>
  <si>
    <t>Justification</t>
  </si>
  <si>
    <t>Month</t>
  </si>
  <si>
    <t>All cells in this tbale are based on formulas or links and are dimamic and aouto-updated</t>
  </si>
  <si>
    <t>- manual imputs for assumptions; the rest is based on formulas and is auto-updated</t>
  </si>
  <si>
    <t>All cells here are based on formulas and are auto-updated depending on assumptions</t>
  </si>
  <si>
    <t>Profit Margin</t>
  </si>
  <si>
    <t xml:space="preserve">Robot acquisition cost </t>
  </si>
  <si>
    <t>New MRR</t>
  </si>
  <si>
    <t>MRR</t>
  </si>
  <si>
    <t>Expansion MRR</t>
  </si>
  <si>
    <t>The amount of robots one engeneer can deploy a month.Since the amount of deployments vary across months we do not fire and hire them every month but retain those from previous month + add new if required</t>
  </si>
  <si>
    <t>Cost of AI models, databases, etc. Initially we have 0 robots but we still have to pay for the cloud compute to keep the infrastructure ready</t>
  </si>
  <si>
    <t>Advertisement costs need to generate one lead. In more complecated models it is pssible to reduce this number as time goes and the company gets more traction</t>
  </si>
  <si>
    <t>AI/ML engeneers; software engeneers; I assume a constunt number, in more complicated models it is possible to grow the team through time</t>
  </si>
  <si>
    <t>CEO, CTO, CFO, VPs;  I assume a constunt number, in more complicated models it is possible to grow the team through time</t>
  </si>
  <si>
    <t>Finance, Accounting, HR, Project managers;  I assume a constunt number, in more complicated models it is possible to grow the team through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</si>
</sst>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\ &quot;€&quot;"/>
    <numFmt numFmtId="166" formatCode="_-* #,##0\ &quot;€&quot;_-;\-* #,##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0" borderId="4" xfId="0" applyBorder="1"/>
    <xf numFmtId="1" fontId="0" fillId="0" borderId="0" xfId="0" applyNumberFormat="1"/>
    <xf numFmtId="0" fontId="0" fillId="0" borderId="3" xfId="0" applyBorder="1"/>
    <xf numFmtId="9" fontId="0" fillId="3" borderId="0" xfId="0" applyNumberFormat="1" applyFill="1"/>
    <xf numFmtId="0" fontId="0" fillId="3" borderId="10" xfId="0" applyFill="1" applyBorder="1"/>
    <xf numFmtId="9" fontId="0" fillId="3" borderId="10" xfId="0" applyNumberFormat="1" applyFill="1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/>
    <xf numFmtId="0" fontId="0" fillId="0" borderId="10" xfId="0" applyBorder="1"/>
    <xf numFmtId="0" fontId="1" fillId="2" borderId="7" xfId="0" applyFont="1" applyFill="1" applyBorder="1"/>
    <xf numFmtId="0" fontId="1" fillId="2" borderId="11" xfId="0" applyFont="1" applyFill="1" applyBorder="1"/>
    <xf numFmtId="0" fontId="1" fillId="2" borderId="8" xfId="0" applyFont="1" applyFill="1" applyBorder="1"/>
    <xf numFmtId="0" fontId="1" fillId="2" borderId="10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6" fontId="0" fillId="0" borderId="0" xfId="0" applyNumberFormat="1"/>
    <xf numFmtId="0" fontId="0" fillId="0" borderId="3" xfId="0" applyBorder="1" applyAlignment="1">
      <alignment horizontal="left"/>
    </xf>
    <xf numFmtId="0" fontId="0" fillId="0" borderId="5" xfId="0" applyBorder="1" applyAlignment="1">
      <alignment vertical="center"/>
    </xf>
    <xf numFmtId="0" fontId="0" fillId="0" borderId="0" xfId="0" quotePrefix="1"/>
    <xf numFmtId="0" fontId="0" fillId="0" borderId="0" xfId="0" quotePrefix="1" applyAlignment="1">
      <alignment horizontal="left" vertical="center"/>
    </xf>
    <xf numFmtId="0" fontId="0" fillId="5" borderId="0" xfId="0" applyFill="1"/>
    <xf numFmtId="0" fontId="0" fillId="0" borderId="4" xfId="0" applyBorder="1" applyAlignment="1">
      <alignment wrapText="1"/>
    </xf>
    <xf numFmtId="164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0" borderId="6" xfId="0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/>
    </xf>
    <xf numFmtId="0" fontId="1" fillId="2" borderId="10" xfId="0" applyFont="1" applyFill="1" applyBorder="1"/>
    <xf numFmtId="165" fontId="1" fillId="0" borderId="0" xfId="0" applyNumberFormat="1" applyFont="1"/>
    <xf numFmtId="0" fontId="1" fillId="2" borderId="0" xfId="0" applyFont="1" applyFill="1" applyAlignment="1">
      <alignment horizontal="right"/>
    </xf>
    <xf numFmtId="0" fontId="7" fillId="2" borderId="0" xfId="0" applyFont="1" applyFill="1" applyAlignment="1">
      <alignment horizontal="right" indent="5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1" fontId="1" fillId="3" borderId="0" xfId="0" applyNumberFormat="1" applyFont="1" applyFill="1"/>
    <xf numFmtId="1" fontId="1" fillId="0" borderId="0" xfId="0" applyNumberFormat="1" applyFont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  <xf numFmtId="10" fontId="1" fillId="0" borderId="0" xfId="0" applyNumberFormat="1" applyFont="1"/>
    <xf numFmtId="0" fontId="1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0" fillId="0" borderId="13" xfId="0" applyBorder="1" applyAlignment="1">
      <alignment horizontal="right"/>
    </xf>
    <xf numFmtId="165" fontId="1" fillId="0" borderId="13" xfId="0" applyNumberFormat="1" applyFont="1" applyBorder="1"/>
    <xf numFmtId="165" fontId="0" fillId="0" borderId="13" xfId="0" applyNumberFormat="1" applyBorder="1"/>
    <xf numFmtId="0" fontId="0" fillId="0" borderId="13" xfId="0" applyBorder="1"/>
    <xf numFmtId="10" fontId="1" fillId="0" borderId="13" xfId="0" applyNumberFormat="1" applyFont="1" applyBorder="1"/>
    <xf numFmtId="165" fontId="0" fillId="0" borderId="14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7CBC-2936-F743-B892-2F18E828E430}">
  <dimension ref="B1:K33"/>
  <sheetViews>
    <sheetView tabSelected="1" workbookViewId="0">
      <selection activeCell="J25" sqref="J25"/>
    </sheetView>
  </sheetViews>
  <sheetFormatPr baseColWidth="10" defaultRowHeight="15" x14ac:dyDescent="0.2"/>
  <cols>
    <col min="2" max="2" width="17" bestFit="1" customWidth="1"/>
    <col min="3" max="3" width="44.5" bestFit="1" customWidth="1"/>
    <col min="4" max="4" width="16.5" bestFit="1" customWidth="1"/>
    <col min="5" max="5" width="14.83203125" bestFit="1" customWidth="1"/>
    <col min="6" max="6" width="33.6640625" bestFit="1" customWidth="1"/>
    <col min="8" max="8" width="33.6640625" bestFit="1" customWidth="1"/>
    <col min="9" max="9" width="10" bestFit="1" customWidth="1"/>
    <col min="10" max="10" width="49" customWidth="1"/>
    <col min="11" max="11" width="54.5" customWidth="1"/>
  </cols>
  <sheetData>
    <row r="1" spans="2:11" ht="16" thickBot="1" x14ac:dyDescent="0.25"/>
    <row r="2" spans="2:11" ht="16" thickBot="1" x14ac:dyDescent="0.25">
      <c r="B2" s="72" t="s">
        <v>70</v>
      </c>
      <c r="C2" s="73"/>
      <c r="D2" s="73"/>
      <c r="E2" s="73"/>
      <c r="F2" s="74"/>
      <c r="H2" s="72" t="s">
        <v>57</v>
      </c>
      <c r="I2" s="73"/>
      <c r="J2" s="73"/>
      <c r="K2" s="74"/>
    </row>
    <row r="3" spans="2:11" ht="16" thickBot="1" x14ac:dyDescent="0.25">
      <c r="B3" s="17" t="s">
        <v>0</v>
      </c>
      <c r="C3" s="18" t="s">
        <v>1</v>
      </c>
      <c r="D3" s="18" t="s">
        <v>20</v>
      </c>
      <c r="E3" s="18" t="s">
        <v>2</v>
      </c>
      <c r="F3" s="19" t="s">
        <v>13</v>
      </c>
      <c r="H3" s="23" t="s">
        <v>90</v>
      </c>
      <c r="I3" s="24" t="s">
        <v>89</v>
      </c>
      <c r="J3" s="24" t="s">
        <v>13</v>
      </c>
      <c r="K3" s="25" t="s">
        <v>192</v>
      </c>
    </row>
    <row r="4" spans="2:11" ht="16" thickBot="1" x14ac:dyDescent="0.25">
      <c r="B4" s="5" t="s">
        <v>3</v>
      </c>
      <c r="C4" t="s">
        <v>4</v>
      </c>
      <c r="D4" s="2">
        <v>2000</v>
      </c>
      <c r="E4" s="6">
        <v>0.35</v>
      </c>
      <c r="F4" s="3" t="s">
        <v>14</v>
      </c>
      <c r="H4" s="75" t="s">
        <v>91</v>
      </c>
      <c r="I4" s="76"/>
      <c r="J4" s="76"/>
      <c r="K4" s="77"/>
    </row>
    <row r="5" spans="2:11" ht="64" x14ac:dyDescent="0.2">
      <c r="B5" s="5" t="s">
        <v>5</v>
      </c>
      <c r="C5" t="s">
        <v>7</v>
      </c>
      <c r="D5" s="2">
        <v>6000</v>
      </c>
      <c r="E5" s="6">
        <v>0.3</v>
      </c>
      <c r="F5" s="3" t="s">
        <v>15</v>
      </c>
      <c r="H5" s="21" t="s">
        <v>92</v>
      </c>
      <c r="I5" s="34">
        <v>500</v>
      </c>
      <c r="J5" s="39" t="s">
        <v>204</v>
      </c>
      <c r="K5" s="32" t="s">
        <v>167</v>
      </c>
    </row>
    <row r="6" spans="2:11" ht="32" x14ac:dyDescent="0.2">
      <c r="B6" s="5" t="s">
        <v>8</v>
      </c>
      <c r="C6" t="s">
        <v>6</v>
      </c>
      <c r="D6" s="2">
        <v>4000</v>
      </c>
      <c r="E6" s="6">
        <v>0.15</v>
      </c>
      <c r="F6" s="3" t="s">
        <v>16</v>
      </c>
      <c r="H6" s="21" t="s">
        <v>64</v>
      </c>
      <c r="I6" s="6">
        <v>0.04</v>
      </c>
      <c r="J6" s="38" t="s">
        <v>93</v>
      </c>
      <c r="K6" s="32" t="s">
        <v>168</v>
      </c>
    </row>
    <row r="7" spans="2:11" ht="32" x14ac:dyDescent="0.2">
      <c r="B7" s="5" t="s">
        <v>12</v>
      </c>
      <c r="C7" t="s">
        <v>9</v>
      </c>
      <c r="D7" s="2">
        <v>8000</v>
      </c>
      <c r="E7" s="6">
        <v>0.15</v>
      </c>
      <c r="F7" s="3" t="s">
        <v>17</v>
      </c>
      <c r="H7" s="21" t="s">
        <v>97</v>
      </c>
      <c r="I7" s="6">
        <v>0.02</v>
      </c>
      <c r="J7" s="38" t="s">
        <v>98</v>
      </c>
      <c r="K7" s="32" t="s">
        <v>169</v>
      </c>
    </row>
    <row r="8" spans="2:11" ht="32" x14ac:dyDescent="0.2">
      <c r="B8" s="5" t="s">
        <v>10</v>
      </c>
      <c r="C8" t="s">
        <v>11</v>
      </c>
      <c r="D8" s="2">
        <v>3000</v>
      </c>
      <c r="E8" s="6">
        <v>0.05</v>
      </c>
      <c r="F8" s="3" t="s">
        <v>18</v>
      </c>
      <c r="H8" s="22" t="s">
        <v>58</v>
      </c>
      <c r="I8" s="33">
        <v>0.01</v>
      </c>
      <c r="J8" s="39" t="s">
        <v>99</v>
      </c>
      <c r="K8" s="32" t="s">
        <v>170</v>
      </c>
    </row>
    <row r="9" spans="2:11" ht="65" thickBot="1" x14ac:dyDescent="0.25">
      <c r="B9" s="15" t="s">
        <v>68</v>
      </c>
      <c r="C9" s="16" t="s">
        <v>69</v>
      </c>
      <c r="D9" s="7">
        <v>1000</v>
      </c>
      <c r="E9" s="8"/>
      <c r="F9" s="9"/>
      <c r="H9" s="22" t="s">
        <v>59</v>
      </c>
      <c r="I9" s="2">
        <v>15</v>
      </c>
      <c r="J9" s="39" t="s">
        <v>100</v>
      </c>
      <c r="K9" s="32" t="s">
        <v>171</v>
      </c>
    </row>
    <row r="10" spans="2:11" ht="32" x14ac:dyDescent="0.2">
      <c r="H10" s="22" t="s">
        <v>67</v>
      </c>
      <c r="I10" s="6">
        <v>0.11</v>
      </c>
      <c r="J10" s="39" t="s">
        <v>101</v>
      </c>
      <c r="K10" s="32" t="s">
        <v>172</v>
      </c>
    </row>
    <row r="11" spans="2:11" ht="16" thickBot="1" x14ac:dyDescent="0.25">
      <c r="B11" t="s">
        <v>19</v>
      </c>
      <c r="H11" s="22" t="s">
        <v>60</v>
      </c>
      <c r="I11" s="31">
        <f>SUMPRODUCT(Assumptions!D4:D8,Assumptions!E4:E8)</f>
        <v>4450</v>
      </c>
      <c r="J11" s="38" t="s">
        <v>102</v>
      </c>
      <c r="K11" s="32"/>
    </row>
    <row r="12" spans="2:11" ht="16" thickBot="1" x14ac:dyDescent="0.25">
      <c r="H12" s="78" t="s">
        <v>103</v>
      </c>
      <c r="I12" s="79"/>
      <c r="J12" s="79"/>
      <c r="K12" s="80"/>
    </row>
    <row r="13" spans="2:11" ht="64" x14ac:dyDescent="0.2">
      <c r="H13" s="22" t="s">
        <v>108</v>
      </c>
      <c r="I13" s="2">
        <v>8</v>
      </c>
      <c r="J13" s="39" t="s">
        <v>202</v>
      </c>
      <c r="K13" s="32" t="s">
        <v>173</v>
      </c>
    </row>
    <row r="14" spans="2:11" ht="32" x14ac:dyDescent="0.2">
      <c r="B14" s="2"/>
      <c r="C14" s="30" t="s">
        <v>165</v>
      </c>
      <c r="H14" s="22" t="s">
        <v>109</v>
      </c>
      <c r="I14" s="2">
        <v>2</v>
      </c>
      <c r="J14" s="39" t="s">
        <v>110</v>
      </c>
      <c r="K14" s="32" t="s">
        <v>174</v>
      </c>
    </row>
    <row r="15" spans="2:11" ht="32" x14ac:dyDescent="0.2">
      <c r="B15" s="31"/>
      <c r="C15" s="29" t="s">
        <v>166</v>
      </c>
      <c r="H15" s="22" t="s">
        <v>111</v>
      </c>
      <c r="I15" s="34">
        <v>5000</v>
      </c>
      <c r="J15" s="39" t="s">
        <v>112</v>
      </c>
      <c r="K15" s="32" t="s">
        <v>175</v>
      </c>
    </row>
    <row r="16" spans="2:11" ht="16" x14ac:dyDescent="0.2">
      <c r="H16" s="22" t="s">
        <v>113</v>
      </c>
      <c r="I16" s="34">
        <v>3500</v>
      </c>
      <c r="J16" s="39" t="s">
        <v>114</v>
      </c>
      <c r="K16" s="32" t="s">
        <v>176</v>
      </c>
    </row>
    <row r="17" spans="2:11" ht="64" x14ac:dyDescent="0.2">
      <c r="H17" s="22" t="s">
        <v>116</v>
      </c>
      <c r="I17" s="35">
        <v>2</v>
      </c>
      <c r="J17" s="39" t="s">
        <v>117</v>
      </c>
      <c r="K17" s="32" t="s">
        <v>177</v>
      </c>
    </row>
    <row r="18" spans="2:11" ht="48" x14ac:dyDescent="0.2">
      <c r="H18" s="22" t="s">
        <v>118</v>
      </c>
      <c r="I18" s="34">
        <v>5000</v>
      </c>
      <c r="J18" s="39" t="s">
        <v>119</v>
      </c>
      <c r="K18" s="32" t="s">
        <v>178</v>
      </c>
    </row>
    <row r="19" spans="2:11" ht="49" thickBot="1" x14ac:dyDescent="0.25">
      <c r="H19" s="22" t="s">
        <v>115</v>
      </c>
      <c r="I19" s="34">
        <v>500</v>
      </c>
      <c r="J19" s="39" t="s">
        <v>203</v>
      </c>
      <c r="K19" s="32" t="s">
        <v>179</v>
      </c>
    </row>
    <row r="20" spans="2:11" ht="16" thickBot="1" x14ac:dyDescent="0.25">
      <c r="H20" s="78" t="s">
        <v>132</v>
      </c>
      <c r="I20" s="79"/>
      <c r="J20" s="79"/>
      <c r="K20" s="80"/>
    </row>
    <row r="21" spans="2:11" ht="32" x14ac:dyDescent="0.2">
      <c r="H21" s="27" t="s">
        <v>133</v>
      </c>
      <c r="I21" s="36">
        <v>10000</v>
      </c>
      <c r="J21" s="40" t="s">
        <v>135</v>
      </c>
      <c r="K21" s="32" t="s">
        <v>180</v>
      </c>
    </row>
    <row r="22" spans="2:11" ht="33" customHeight="1" x14ac:dyDescent="0.2">
      <c r="H22" s="27" t="s">
        <v>134</v>
      </c>
      <c r="I22" s="36">
        <v>5000</v>
      </c>
      <c r="J22" s="40" t="s">
        <v>136</v>
      </c>
      <c r="K22" s="32" t="s">
        <v>181</v>
      </c>
    </row>
    <row r="23" spans="2:11" ht="64" x14ac:dyDescent="0.2">
      <c r="H23" s="21" t="s">
        <v>73</v>
      </c>
      <c r="I23" s="2">
        <v>5</v>
      </c>
      <c r="J23" s="38" t="s">
        <v>94</v>
      </c>
      <c r="K23" s="32" t="s">
        <v>182</v>
      </c>
    </row>
    <row r="24" spans="2:11" x14ac:dyDescent="0.2">
      <c r="H24" s="21" t="s">
        <v>138</v>
      </c>
      <c r="I24" s="34">
        <v>4000</v>
      </c>
      <c r="J24" s="38" t="s">
        <v>95</v>
      </c>
      <c r="K24" s="3" t="s">
        <v>183</v>
      </c>
    </row>
    <row r="25" spans="2:11" x14ac:dyDescent="0.2">
      <c r="H25" s="21" t="s">
        <v>87</v>
      </c>
      <c r="I25" s="6">
        <v>0.1</v>
      </c>
      <c r="J25" s="38" t="s">
        <v>96</v>
      </c>
      <c r="K25" s="3" t="s">
        <v>184</v>
      </c>
    </row>
    <row r="26" spans="2:11" ht="64" x14ac:dyDescent="0.2">
      <c r="B26" s="12"/>
      <c r="H26" s="21" t="s">
        <v>137</v>
      </c>
      <c r="I26" s="2">
        <v>10</v>
      </c>
      <c r="J26" s="39" t="s">
        <v>205</v>
      </c>
      <c r="K26" s="32" t="s">
        <v>185</v>
      </c>
    </row>
    <row r="27" spans="2:11" ht="32" x14ac:dyDescent="0.2">
      <c r="H27" s="21" t="s">
        <v>139</v>
      </c>
      <c r="I27" s="34">
        <v>8000</v>
      </c>
      <c r="J27" s="38" t="s">
        <v>140</v>
      </c>
      <c r="K27" s="32" t="s">
        <v>186</v>
      </c>
    </row>
    <row r="28" spans="2:11" ht="48" x14ac:dyDescent="0.2">
      <c r="H28" s="21" t="s">
        <v>141</v>
      </c>
      <c r="I28" s="35">
        <v>5</v>
      </c>
      <c r="J28" s="39" t="s">
        <v>206</v>
      </c>
      <c r="K28" s="3" t="s">
        <v>187</v>
      </c>
    </row>
    <row r="29" spans="2:11" ht="32" x14ac:dyDescent="0.2">
      <c r="H29" s="21" t="s">
        <v>143</v>
      </c>
      <c r="I29" s="34">
        <v>12000</v>
      </c>
      <c r="J29" s="38" t="s">
        <v>142</v>
      </c>
      <c r="K29" s="32" t="s">
        <v>188</v>
      </c>
    </row>
    <row r="30" spans="2:11" ht="48" x14ac:dyDescent="0.2">
      <c r="H30" s="21" t="s">
        <v>144</v>
      </c>
      <c r="I30" s="2">
        <v>6</v>
      </c>
      <c r="J30" s="39" t="s">
        <v>207</v>
      </c>
      <c r="K30" s="3" t="s">
        <v>189</v>
      </c>
    </row>
    <row r="31" spans="2:11" ht="16" thickBot="1" x14ac:dyDescent="0.25">
      <c r="H31" s="21" t="s">
        <v>145</v>
      </c>
      <c r="I31" s="34">
        <v>5000</v>
      </c>
      <c r="J31" s="38" t="s">
        <v>146</v>
      </c>
      <c r="K31" s="3" t="s">
        <v>190</v>
      </c>
    </row>
    <row r="32" spans="2:11" ht="16" thickBot="1" x14ac:dyDescent="0.25">
      <c r="H32" s="78" t="s">
        <v>161</v>
      </c>
      <c r="I32" s="79"/>
      <c r="J32" s="79"/>
      <c r="K32" s="80"/>
    </row>
    <row r="33" spans="8:11" ht="17" thickBot="1" x14ac:dyDescent="0.25">
      <c r="H33" s="28" t="s">
        <v>162</v>
      </c>
      <c r="I33" s="8">
        <v>0.3</v>
      </c>
      <c r="J33" s="41" t="s">
        <v>163</v>
      </c>
      <c r="K33" s="37" t="s">
        <v>191</v>
      </c>
    </row>
  </sheetData>
  <mergeCells count="6">
    <mergeCell ref="H32:K32"/>
    <mergeCell ref="B2:F2"/>
    <mergeCell ref="H2:K2"/>
    <mergeCell ref="H4:K4"/>
    <mergeCell ref="H12:K12"/>
    <mergeCell ref="H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D849-1564-4970-B8B0-933F190DB596}">
  <dimension ref="B2:AL45"/>
  <sheetViews>
    <sheetView workbookViewId="0">
      <pane xSplit="2" topLeftCell="C1" activePane="topRight" state="frozen"/>
      <selection pane="topRight" activeCell="AO18" sqref="AO18"/>
    </sheetView>
  </sheetViews>
  <sheetFormatPr baseColWidth="10" defaultColWidth="11.33203125" defaultRowHeight="15" x14ac:dyDescent="0.2"/>
  <cols>
    <col min="2" max="2" width="27.6640625" customWidth="1"/>
    <col min="3" max="4" width="15.6640625" bestFit="1" customWidth="1"/>
    <col min="5" max="32" width="18.83203125" bestFit="1" customWidth="1"/>
    <col min="33" max="33" width="15.6640625" customWidth="1"/>
    <col min="34" max="34" width="14.5" customWidth="1"/>
    <col min="35" max="35" width="14.1640625" customWidth="1"/>
    <col min="36" max="36" width="14" customWidth="1"/>
    <col min="37" max="37" width="13.5" customWidth="1"/>
    <col min="38" max="38" width="13.6640625" customWidth="1"/>
  </cols>
  <sheetData>
    <row r="2" spans="2:38" x14ac:dyDescent="0.2">
      <c r="B2" s="10" t="s">
        <v>194</v>
      </c>
    </row>
    <row r="3" spans="2:38" ht="16" thickBot="1" x14ac:dyDescent="0.25"/>
    <row r="4" spans="2:38" ht="16" thickBot="1" x14ac:dyDescent="0.25">
      <c r="B4" s="51" t="s">
        <v>193</v>
      </c>
      <c r="C4" s="20" t="s">
        <v>22</v>
      </c>
      <c r="D4" s="20" t="s">
        <v>23</v>
      </c>
      <c r="E4" s="20" t="s">
        <v>24</v>
      </c>
      <c r="F4" s="20" t="s">
        <v>61</v>
      </c>
      <c r="G4" s="20" t="s">
        <v>25</v>
      </c>
      <c r="H4" s="20" t="s">
        <v>26</v>
      </c>
      <c r="I4" s="20" t="s">
        <v>27</v>
      </c>
      <c r="J4" s="20" t="s">
        <v>28</v>
      </c>
      <c r="K4" s="20" t="s">
        <v>29</v>
      </c>
      <c r="L4" s="20" t="s">
        <v>30</v>
      </c>
      <c r="M4" s="20" t="s">
        <v>31</v>
      </c>
      <c r="N4" s="20" t="s">
        <v>32</v>
      </c>
      <c r="O4" s="20" t="s">
        <v>33</v>
      </c>
      <c r="P4" s="20" t="s">
        <v>34</v>
      </c>
      <c r="Q4" s="20" t="s">
        <v>35</v>
      </c>
      <c r="R4" s="20" t="s">
        <v>36</v>
      </c>
      <c r="S4" s="20" t="s">
        <v>37</v>
      </c>
      <c r="T4" s="20" t="s">
        <v>38</v>
      </c>
      <c r="U4" s="20" t="s">
        <v>39</v>
      </c>
      <c r="V4" s="20" t="s">
        <v>40</v>
      </c>
      <c r="W4" s="20" t="s">
        <v>41</v>
      </c>
      <c r="X4" s="20" t="s">
        <v>42</v>
      </c>
      <c r="Y4" s="20" t="s">
        <v>43</v>
      </c>
      <c r="Z4" s="20" t="s">
        <v>44</v>
      </c>
      <c r="AA4" s="20" t="s">
        <v>45</v>
      </c>
      <c r="AB4" s="20" t="s">
        <v>46</v>
      </c>
      <c r="AC4" s="20" t="s">
        <v>47</v>
      </c>
      <c r="AD4" s="20" t="s">
        <v>48</v>
      </c>
      <c r="AE4" s="20" t="s">
        <v>49</v>
      </c>
      <c r="AF4" s="20" t="s">
        <v>50</v>
      </c>
      <c r="AG4" s="20" t="s">
        <v>51</v>
      </c>
      <c r="AH4" s="20" t="s">
        <v>52</v>
      </c>
      <c r="AI4" s="20" t="s">
        <v>53</v>
      </c>
      <c r="AJ4" s="20" t="s">
        <v>54</v>
      </c>
      <c r="AK4" s="20" t="s">
        <v>55</v>
      </c>
      <c r="AL4" s="63" t="s">
        <v>56</v>
      </c>
    </row>
    <row r="5" spans="2:38" x14ac:dyDescent="0.2">
      <c r="B5" s="4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64"/>
    </row>
    <row r="6" spans="2:38" x14ac:dyDescent="0.2">
      <c r="B6" s="42" t="s">
        <v>88</v>
      </c>
      <c r="C6" s="50">
        <f>'Sales and Customer Acquisition '!C13</f>
        <v>0</v>
      </c>
      <c r="D6" s="50">
        <f>'Sales and Customer Acquisition '!D13</f>
        <v>0</v>
      </c>
      <c r="E6" s="50">
        <f>'Sales and Customer Acquisition '!E13</f>
        <v>0</v>
      </c>
      <c r="F6" s="50">
        <f>'Sales and Customer Acquisition '!F13</f>
        <v>0</v>
      </c>
      <c r="G6" s="50">
        <f>'Sales and Customer Acquisition '!G13</f>
        <v>0</v>
      </c>
      <c r="H6" s="50">
        <f>'Sales and Customer Acquisition '!H13</f>
        <v>0</v>
      </c>
      <c r="I6" s="50">
        <f>'Sales and Customer Acquisition '!I13</f>
        <v>0</v>
      </c>
      <c r="J6" s="50">
        <f>'Sales and Customer Acquisition '!J13</f>
        <v>0</v>
      </c>
      <c r="K6" s="50">
        <f>'Sales and Customer Acquisition '!K13</f>
        <v>0</v>
      </c>
      <c r="L6" s="50">
        <f>'Sales and Customer Acquisition '!L13</f>
        <v>0</v>
      </c>
      <c r="M6" s="50">
        <f>'Sales and Customer Acquisition '!M13</f>
        <v>15</v>
      </c>
      <c r="N6" s="50">
        <f>'Sales and Customer Acquisition '!N13</f>
        <v>16</v>
      </c>
      <c r="O6" s="50">
        <f>'Sales and Customer Acquisition '!O13</f>
        <v>17</v>
      </c>
      <c r="P6" s="50">
        <f>'Sales and Customer Acquisition '!P13</f>
        <v>18</v>
      </c>
      <c r="Q6" s="50">
        <f>'Sales and Customer Acquisition '!Q13</f>
        <v>19</v>
      </c>
      <c r="R6" s="50">
        <f>'Sales and Customer Acquisition '!R13</f>
        <v>21</v>
      </c>
      <c r="S6" s="50">
        <f>'Sales and Customer Acquisition '!S13</f>
        <v>38</v>
      </c>
      <c r="T6" s="50">
        <f>'Sales and Customer Acquisition '!T13</f>
        <v>42</v>
      </c>
      <c r="U6" s="50">
        <f>'Sales and Customer Acquisition '!U13</f>
        <v>46</v>
      </c>
      <c r="V6" s="50">
        <f>'Sales and Customer Acquisition '!V13</f>
        <v>51</v>
      </c>
      <c r="W6" s="50">
        <f>'Sales and Customer Acquisition '!W13</f>
        <v>56</v>
      </c>
      <c r="X6" s="50">
        <f>'Sales and Customer Acquisition '!X13</f>
        <v>62</v>
      </c>
      <c r="Y6" s="50">
        <f>'Sales and Customer Acquisition '!Y13</f>
        <v>83</v>
      </c>
      <c r="Z6" s="50">
        <f>'Sales and Customer Acquisition '!Z13</f>
        <v>92</v>
      </c>
      <c r="AA6" s="50">
        <f>'Sales and Customer Acquisition '!AA13</f>
        <v>102</v>
      </c>
      <c r="AB6" s="50">
        <f>'Sales and Customer Acquisition '!AB13</f>
        <v>113</v>
      </c>
      <c r="AC6" s="50">
        <f>'Sales and Customer Acquisition '!AC13</f>
        <v>140</v>
      </c>
      <c r="AD6" s="50">
        <f>'Sales and Customer Acquisition '!AD13</f>
        <v>155</v>
      </c>
      <c r="AE6" s="50">
        <f>'Sales and Customer Acquisition '!AE13</f>
        <v>172</v>
      </c>
      <c r="AF6" s="50">
        <f>'Sales and Customer Acquisition '!AF13</f>
        <v>190</v>
      </c>
      <c r="AG6" s="50">
        <f>'Sales and Customer Acquisition '!AG13</f>
        <v>225</v>
      </c>
      <c r="AH6" s="50">
        <f>'Sales and Customer Acquisition '!AH13</f>
        <v>249</v>
      </c>
      <c r="AI6" s="50">
        <f>'Sales and Customer Acquisition '!AI13</f>
        <v>276</v>
      </c>
      <c r="AJ6" s="50">
        <f>'Sales and Customer Acquisition '!AJ13</f>
        <v>321</v>
      </c>
      <c r="AK6" s="50">
        <f>'Sales and Customer Acquisition '!AK13</f>
        <v>356</v>
      </c>
      <c r="AL6" s="65">
        <f>'Sales and Customer Acquisition '!AL13</f>
        <v>395</v>
      </c>
    </row>
    <row r="7" spans="2:38" x14ac:dyDescent="0.2">
      <c r="B7" s="42" t="s">
        <v>104</v>
      </c>
      <c r="C7" s="50">
        <f>'Sales and Customer Acquisition '!C9</f>
        <v>0</v>
      </c>
      <c r="D7" s="50">
        <f>'Sales and Customer Acquisition '!D9</f>
        <v>0</v>
      </c>
      <c r="E7" s="50">
        <f>'Sales and Customer Acquisition '!E9</f>
        <v>0</v>
      </c>
      <c r="F7" s="50">
        <f>'Sales and Customer Acquisition '!F9</f>
        <v>0</v>
      </c>
      <c r="G7" s="50">
        <f>'Sales and Customer Acquisition '!G9</f>
        <v>0</v>
      </c>
      <c r="H7" s="50">
        <f>'Sales and Customer Acquisition '!H9</f>
        <v>0</v>
      </c>
      <c r="I7" s="50">
        <f>'Sales and Customer Acquisition '!I9</f>
        <v>0</v>
      </c>
      <c r="J7" s="50">
        <f>'Sales and Customer Acquisition '!J9</f>
        <v>0</v>
      </c>
      <c r="K7" s="50">
        <f>'Sales and Customer Acquisition '!K9</f>
        <v>0</v>
      </c>
      <c r="L7" s="50">
        <f>'Sales and Customer Acquisition '!L9</f>
        <v>0</v>
      </c>
      <c r="M7" s="50">
        <f>'Sales and Customer Acquisition '!M9</f>
        <v>1</v>
      </c>
      <c r="N7" s="50">
        <f>'Sales and Customer Acquisition '!N9</f>
        <v>1</v>
      </c>
      <c r="O7" s="50">
        <f>'Sales and Customer Acquisition '!O9</f>
        <v>1</v>
      </c>
      <c r="P7" s="50">
        <f>'Sales and Customer Acquisition '!P9</f>
        <v>1</v>
      </c>
      <c r="Q7" s="50">
        <f>'Sales and Customer Acquisition '!Q9</f>
        <v>1</v>
      </c>
      <c r="R7" s="50">
        <f>'Sales and Customer Acquisition '!R9</f>
        <v>1</v>
      </c>
      <c r="S7" s="50">
        <f>'Sales and Customer Acquisition '!S9</f>
        <v>2</v>
      </c>
      <c r="T7" s="50">
        <f>'Sales and Customer Acquisition '!T9</f>
        <v>2</v>
      </c>
      <c r="U7" s="50">
        <f>'Sales and Customer Acquisition '!U9</f>
        <v>2</v>
      </c>
      <c r="V7" s="50">
        <f>'Sales and Customer Acquisition '!V9</f>
        <v>2</v>
      </c>
      <c r="W7" s="50">
        <f>'Sales and Customer Acquisition '!W9</f>
        <v>2</v>
      </c>
      <c r="X7" s="50">
        <f>'Sales and Customer Acquisition '!X9</f>
        <v>2</v>
      </c>
      <c r="Y7" s="50">
        <f>'Sales and Customer Acquisition '!Y9</f>
        <v>3</v>
      </c>
      <c r="Z7" s="50">
        <f>'Sales and Customer Acquisition '!Z9</f>
        <v>3</v>
      </c>
      <c r="AA7" s="50">
        <f>'Sales and Customer Acquisition '!AA9</f>
        <v>3</v>
      </c>
      <c r="AB7" s="50">
        <f>'Sales and Customer Acquisition '!AB9</f>
        <v>3</v>
      </c>
      <c r="AC7" s="50">
        <f>'Sales and Customer Acquisition '!AC9</f>
        <v>4</v>
      </c>
      <c r="AD7" s="50">
        <f>'Sales and Customer Acquisition '!AD9</f>
        <v>4</v>
      </c>
      <c r="AE7" s="50">
        <f>'Sales and Customer Acquisition '!AE9</f>
        <v>4</v>
      </c>
      <c r="AF7" s="50">
        <f>'Sales and Customer Acquisition '!AF9</f>
        <v>4</v>
      </c>
      <c r="AG7" s="50">
        <f>'Sales and Customer Acquisition '!AG9</f>
        <v>5</v>
      </c>
      <c r="AH7" s="50">
        <f>'Sales and Customer Acquisition '!AH9</f>
        <v>5</v>
      </c>
      <c r="AI7" s="50">
        <f>'Sales and Customer Acquisition '!AI9</f>
        <v>5</v>
      </c>
      <c r="AJ7" s="50">
        <f>'Sales and Customer Acquisition '!AJ9</f>
        <v>6</v>
      </c>
      <c r="AK7" s="50">
        <f>'Sales and Customer Acquisition '!AK9</f>
        <v>6</v>
      </c>
      <c r="AL7" s="65">
        <f>'Sales and Customer Acquisition '!AL9</f>
        <v>6</v>
      </c>
    </row>
    <row r="8" spans="2:38" x14ac:dyDescent="0.2">
      <c r="B8" s="4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66"/>
    </row>
    <row r="9" spans="2:38" x14ac:dyDescent="0.2">
      <c r="B9" s="42" t="s">
        <v>21</v>
      </c>
      <c r="C9" s="52">
        <f>SUM(C11:C12)</f>
        <v>0</v>
      </c>
      <c r="D9" s="52">
        <f t="shared" ref="D9:AL9" si="0">SUM(D11:D12)</f>
        <v>0</v>
      </c>
      <c r="E9" s="52">
        <f t="shared" si="0"/>
        <v>0</v>
      </c>
      <c r="F9" s="52">
        <f t="shared" si="0"/>
        <v>0</v>
      </c>
      <c r="G9" s="52">
        <f t="shared" si="0"/>
        <v>0</v>
      </c>
      <c r="H9" s="52">
        <f t="shared" si="0"/>
        <v>0</v>
      </c>
      <c r="I9" s="52">
        <f t="shared" si="0"/>
        <v>0</v>
      </c>
      <c r="J9" s="52">
        <f t="shared" si="0"/>
        <v>0</v>
      </c>
      <c r="K9" s="52">
        <f t="shared" si="0"/>
        <v>0</v>
      </c>
      <c r="L9" s="52">
        <f t="shared" si="0"/>
        <v>0</v>
      </c>
      <c r="M9" s="52">
        <f t="shared" si="0"/>
        <v>81750</v>
      </c>
      <c r="N9" s="52">
        <f t="shared" si="0"/>
        <v>72200</v>
      </c>
      <c r="O9" s="52">
        <f t="shared" si="0"/>
        <v>76650</v>
      </c>
      <c r="P9" s="52">
        <f t="shared" si="0"/>
        <v>81100</v>
      </c>
      <c r="Q9" s="52">
        <f t="shared" si="0"/>
        <v>85550</v>
      </c>
      <c r="R9" s="52">
        <f t="shared" si="0"/>
        <v>95450</v>
      </c>
      <c r="S9" s="52">
        <f t="shared" si="0"/>
        <v>186100</v>
      </c>
      <c r="T9" s="52">
        <f t="shared" si="0"/>
        <v>190900</v>
      </c>
      <c r="U9" s="52">
        <f t="shared" si="0"/>
        <v>208700</v>
      </c>
      <c r="V9" s="52">
        <f t="shared" si="0"/>
        <v>231950</v>
      </c>
      <c r="W9" s="52">
        <f t="shared" si="0"/>
        <v>254200</v>
      </c>
      <c r="X9" s="52">
        <f t="shared" si="0"/>
        <v>281900</v>
      </c>
      <c r="Y9" s="52">
        <f t="shared" si="0"/>
        <v>390350</v>
      </c>
      <c r="Z9" s="52">
        <f t="shared" si="0"/>
        <v>418400</v>
      </c>
      <c r="AA9" s="52">
        <f t="shared" si="0"/>
        <v>463900</v>
      </c>
      <c r="AB9" s="52">
        <f t="shared" si="0"/>
        <v>513850</v>
      </c>
      <c r="AC9" s="52">
        <f t="shared" si="0"/>
        <v>650000</v>
      </c>
      <c r="AD9" s="52">
        <f t="shared" si="0"/>
        <v>704750</v>
      </c>
      <c r="AE9" s="52">
        <f t="shared" si="0"/>
        <v>782400</v>
      </c>
      <c r="AF9" s="52">
        <f t="shared" si="0"/>
        <v>863500</v>
      </c>
      <c r="AG9" s="52">
        <f t="shared" si="0"/>
        <v>1036250</v>
      </c>
      <c r="AH9" s="52">
        <f t="shared" si="0"/>
        <v>1132050</v>
      </c>
      <c r="AI9" s="52">
        <f t="shared" si="0"/>
        <v>1255200</v>
      </c>
      <c r="AJ9" s="52">
        <f t="shared" si="0"/>
        <v>1473450</v>
      </c>
      <c r="AK9" s="52">
        <f t="shared" si="0"/>
        <v>1619200</v>
      </c>
      <c r="AL9" s="67">
        <f t="shared" si="0"/>
        <v>1796750</v>
      </c>
    </row>
    <row r="10" spans="2:38" x14ac:dyDescent="0.2">
      <c r="B10" s="4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68"/>
    </row>
    <row r="11" spans="2:38" x14ac:dyDescent="0.2">
      <c r="B11" s="48" t="s">
        <v>71</v>
      </c>
      <c r="C11" s="13">
        <f>'Sales and Customer Acquisition '!C20</f>
        <v>0</v>
      </c>
      <c r="D11" s="13">
        <f>'Sales and Customer Acquisition '!D20</f>
        <v>0</v>
      </c>
      <c r="E11" s="13">
        <f>'Sales and Customer Acquisition '!E20</f>
        <v>0</v>
      </c>
      <c r="F11" s="13">
        <f>'Sales and Customer Acquisition '!F20</f>
        <v>0</v>
      </c>
      <c r="G11" s="13">
        <f>'Sales and Customer Acquisition '!G20</f>
        <v>0</v>
      </c>
      <c r="H11" s="13">
        <f>'Sales and Customer Acquisition '!H20</f>
        <v>0</v>
      </c>
      <c r="I11" s="13">
        <f>'Sales and Customer Acquisition '!I20</f>
        <v>0</v>
      </c>
      <c r="J11" s="13">
        <f>'Sales and Customer Acquisition '!J20</f>
        <v>0</v>
      </c>
      <c r="K11" s="13">
        <f>'Sales and Customer Acquisition '!K20</f>
        <v>0</v>
      </c>
      <c r="L11" s="13">
        <f>'Sales and Customer Acquisition '!L20</f>
        <v>0</v>
      </c>
      <c r="M11" s="13">
        <f>'Sales and Customer Acquisition '!M20</f>
        <v>66750</v>
      </c>
      <c r="N11" s="13">
        <f>'Sales and Customer Acquisition '!N20</f>
        <v>71200</v>
      </c>
      <c r="O11" s="13">
        <f>'Sales and Customer Acquisition '!O20</f>
        <v>75650</v>
      </c>
      <c r="P11" s="13">
        <f>'Sales and Customer Acquisition '!P20</f>
        <v>80100</v>
      </c>
      <c r="Q11" s="13">
        <f>'Sales and Customer Acquisition '!Q20</f>
        <v>84550</v>
      </c>
      <c r="R11" s="13">
        <f>'Sales and Customer Acquisition '!R20</f>
        <v>93450</v>
      </c>
      <c r="S11" s="13">
        <f>'Sales and Customer Acquisition '!S20</f>
        <v>169100</v>
      </c>
      <c r="T11" s="13">
        <f>'Sales and Customer Acquisition '!T20</f>
        <v>186900</v>
      </c>
      <c r="U11" s="13">
        <f>'Sales and Customer Acquisition '!U20</f>
        <v>204700</v>
      </c>
      <c r="V11" s="13">
        <f>'Sales and Customer Acquisition '!V20</f>
        <v>226950</v>
      </c>
      <c r="W11" s="13">
        <f>'Sales and Customer Acquisition '!W20</f>
        <v>249200</v>
      </c>
      <c r="X11" s="13">
        <f>'Sales and Customer Acquisition '!X20</f>
        <v>275900</v>
      </c>
      <c r="Y11" s="13">
        <f>'Sales and Customer Acquisition '!Y20</f>
        <v>369350</v>
      </c>
      <c r="Z11" s="13">
        <f>'Sales and Customer Acquisition '!Z20</f>
        <v>409400</v>
      </c>
      <c r="AA11" s="13">
        <f>'Sales and Customer Acquisition '!AA20</f>
        <v>453900</v>
      </c>
      <c r="AB11" s="13">
        <f>'Sales and Customer Acquisition '!AB20</f>
        <v>502850</v>
      </c>
      <c r="AC11" s="13">
        <f>'Sales and Customer Acquisition '!AC20</f>
        <v>623000</v>
      </c>
      <c r="AD11" s="13">
        <f>'Sales and Customer Acquisition '!AD20</f>
        <v>689750</v>
      </c>
      <c r="AE11" s="13">
        <f>'Sales and Customer Acquisition '!AE20</f>
        <v>765400</v>
      </c>
      <c r="AF11" s="13">
        <f>'Sales and Customer Acquisition '!AF20</f>
        <v>845500</v>
      </c>
      <c r="AG11" s="13">
        <f>'Sales and Customer Acquisition '!AG20</f>
        <v>1001250</v>
      </c>
      <c r="AH11" s="13">
        <f>'Sales and Customer Acquisition '!AH20</f>
        <v>1108050</v>
      </c>
      <c r="AI11" s="13">
        <f>'Sales and Customer Acquisition '!AI20</f>
        <v>1228200</v>
      </c>
      <c r="AJ11" s="13">
        <f>'Sales and Customer Acquisition '!AJ20</f>
        <v>1428450</v>
      </c>
      <c r="AK11" s="13">
        <f>'Sales and Customer Acquisition '!AK20</f>
        <v>1584200</v>
      </c>
      <c r="AL11" s="68">
        <f>'Sales and Customer Acquisition '!AL20</f>
        <v>1757750</v>
      </c>
    </row>
    <row r="12" spans="2:38" x14ac:dyDescent="0.2">
      <c r="B12" s="48" t="s">
        <v>72</v>
      </c>
      <c r="C12" s="13">
        <f>'Sales and Customer Acquisition '!C21</f>
        <v>0</v>
      </c>
      <c r="D12" s="13">
        <f>'Sales and Customer Acquisition '!D21</f>
        <v>0</v>
      </c>
      <c r="E12" s="13">
        <f>'Sales and Customer Acquisition '!E21</f>
        <v>0</v>
      </c>
      <c r="F12" s="13">
        <f>'Sales and Customer Acquisition '!F21</f>
        <v>0</v>
      </c>
      <c r="G12" s="13">
        <f>'Sales and Customer Acquisition '!G21</f>
        <v>0</v>
      </c>
      <c r="H12" s="13">
        <f>'Sales and Customer Acquisition '!H21</f>
        <v>0</v>
      </c>
      <c r="I12" s="13">
        <f>'Sales and Customer Acquisition '!I21</f>
        <v>0</v>
      </c>
      <c r="J12" s="13">
        <f>'Sales and Customer Acquisition '!J21</f>
        <v>0</v>
      </c>
      <c r="K12" s="13">
        <f>'Sales and Customer Acquisition '!K21</f>
        <v>0</v>
      </c>
      <c r="L12" s="13">
        <f>'Sales and Customer Acquisition '!L21</f>
        <v>0</v>
      </c>
      <c r="M12" s="13">
        <f>'Sales and Customer Acquisition '!M21</f>
        <v>15000</v>
      </c>
      <c r="N12" s="13">
        <f>'Sales and Customer Acquisition '!N21</f>
        <v>1000</v>
      </c>
      <c r="O12" s="13">
        <f>'Sales and Customer Acquisition '!O21</f>
        <v>1000</v>
      </c>
      <c r="P12" s="13">
        <f>'Sales and Customer Acquisition '!P21</f>
        <v>1000</v>
      </c>
      <c r="Q12" s="13">
        <f>'Sales and Customer Acquisition '!Q21</f>
        <v>1000</v>
      </c>
      <c r="R12" s="13">
        <f>'Sales and Customer Acquisition '!R21</f>
        <v>2000</v>
      </c>
      <c r="S12" s="13">
        <f>'Sales and Customer Acquisition '!S21</f>
        <v>17000</v>
      </c>
      <c r="T12" s="13">
        <f>'Sales and Customer Acquisition '!T21</f>
        <v>4000</v>
      </c>
      <c r="U12" s="13">
        <f>'Sales and Customer Acquisition '!U21</f>
        <v>4000</v>
      </c>
      <c r="V12" s="13">
        <f>'Sales and Customer Acquisition '!V21</f>
        <v>5000</v>
      </c>
      <c r="W12" s="13">
        <f>'Sales and Customer Acquisition '!W21</f>
        <v>5000</v>
      </c>
      <c r="X12" s="13">
        <f>'Sales and Customer Acquisition '!X21</f>
        <v>6000</v>
      </c>
      <c r="Y12" s="13">
        <f>'Sales and Customer Acquisition '!Y21</f>
        <v>21000</v>
      </c>
      <c r="Z12" s="13">
        <f>'Sales and Customer Acquisition '!Z21</f>
        <v>9000</v>
      </c>
      <c r="AA12" s="13">
        <f>'Sales and Customer Acquisition '!AA21</f>
        <v>10000</v>
      </c>
      <c r="AB12" s="13">
        <f>'Sales and Customer Acquisition '!AB21</f>
        <v>11000</v>
      </c>
      <c r="AC12" s="13">
        <f>'Sales and Customer Acquisition '!AC21</f>
        <v>27000</v>
      </c>
      <c r="AD12" s="13">
        <f>'Sales and Customer Acquisition '!AD21</f>
        <v>15000</v>
      </c>
      <c r="AE12" s="13">
        <f>'Sales and Customer Acquisition '!AE21</f>
        <v>17000</v>
      </c>
      <c r="AF12" s="13">
        <f>'Sales and Customer Acquisition '!AF21</f>
        <v>18000</v>
      </c>
      <c r="AG12" s="13">
        <f>'Sales and Customer Acquisition '!AG21</f>
        <v>35000</v>
      </c>
      <c r="AH12" s="13">
        <f>'Sales and Customer Acquisition '!AH21</f>
        <v>24000</v>
      </c>
      <c r="AI12" s="13">
        <f>'Sales and Customer Acquisition '!AI21</f>
        <v>27000</v>
      </c>
      <c r="AJ12" s="13">
        <f>'Sales and Customer Acquisition '!AJ21</f>
        <v>45000</v>
      </c>
      <c r="AK12" s="13">
        <f>'Sales and Customer Acquisition '!AK21</f>
        <v>35000</v>
      </c>
      <c r="AL12" s="68">
        <f>'Sales and Customer Acquisition '!AL21</f>
        <v>39000</v>
      </c>
    </row>
    <row r="13" spans="2:38" x14ac:dyDescent="0.2">
      <c r="B13" s="44"/>
      <c r="AL13" s="69"/>
    </row>
    <row r="14" spans="2:38" x14ac:dyDescent="0.2">
      <c r="B14" s="42" t="s">
        <v>103</v>
      </c>
      <c r="C14" s="13">
        <f>SUM(C16:C20)</f>
        <v>18500</v>
      </c>
      <c r="D14" s="13">
        <f t="shared" ref="D14:AL14" si="1">SUM(D16:D20)</f>
        <v>18500</v>
      </c>
      <c r="E14" s="13">
        <f t="shared" si="1"/>
        <v>18500</v>
      </c>
      <c r="F14" s="13">
        <f t="shared" si="1"/>
        <v>18500</v>
      </c>
      <c r="G14" s="13">
        <f t="shared" si="1"/>
        <v>18500</v>
      </c>
      <c r="H14" s="13">
        <f t="shared" si="1"/>
        <v>18500</v>
      </c>
      <c r="I14" s="13">
        <f t="shared" si="1"/>
        <v>18500</v>
      </c>
      <c r="J14" s="13">
        <f t="shared" si="1"/>
        <v>18500</v>
      </c>
      <c r="K14" s="13">
        <f t="shared" si="1"/>
        <v>18500</v>
      </c>
      <c r="L14" s="13">
        <f t="shared" si="1"/>
        <v>18500</v>
      </c>
      <c r="M14" s="13">
        <f t="shared" si="1"/>
        <v>26000</v>
      </c>
      <c r="N14" s="13">
        <f t="shared" si="1"/>
        <v>26500</v>
      </c>
      <c r="O14" s="13">
        <f t="shared" si="1"/>
        <v>27000</v>
      </c>
      <c r="P14" s="13">
        <f t="shared" si="1"/>
        <v>27500</v>
      </c>
      <c r="Q14" s="13">
        <f t="shared" si="1"/>
        <v>28000</v>
      </c>
      <c r="R14" s="13">
        <f t="shared" si="1"/>
        <v>29000</v>
      </c>
      <c r="S14" s="13">
        <f t="shared" si="1"/>
        <v>42500</v>
      </c>
      <c r="T14" s="13">
        <f t="shared" si="1"/>
        <v>44500</v>
      </c>
      <c r="U14" s="13">
        <f t="shared" si="1"/>
        <v>46500</v>
      </c>
      <c r="V14" s="13">
        <f t="shared" si="1"/>
        <v>49000</v>
      </c>
      <c r="W14" s="13">
        <f t="shared" si="1"/>
        <v>51500</v>
      </c>
      <c r="X14" s="13">
        <f t="shared" si="1"/>
        <v>54500</v>
      </c>
      <c r="Y14" s="13">
        <f t="shared" si="1"/>
        <v>73500</v>
      </c>
      <c r="Z14" s="13">
        <f t="shared" si="1"/>
        <v>78000</v>
      </c>
      <c r="AA14" s="13">
        <f t="shared" si="1"/>
        <v>83000</v>
      </c>
      <c r="AB14" s="13">
        <f t="shared" si="1"/>
        <v>88500</v>
      </c>
      <c r="AC14" s="13">
        <f t="shared" si="1"/>
        <v>107000</v>
      </c>
      <c r="AD14" s="13">
        <f t="shared" si="1"/>
        <v>114500</v>
      </c>
      <c r="AE14" s="13">
        <f t="shared" si="1"/>
        <v>123000</v>
      </c>
      <c r="AF14" s="13">
        <f t="shared" si="1"/>
        <v>132000</v>
      </c>
      <c r="AG14" s="13">
        <f t="shared" si="1"/>
        <v>163000</v>
      </c>
      <c r="AH14" s="13">
        <f t="shared" si="1"/>
        <v>175000</v>
      </c>
      <c r="AI14" s="13">
        <f t="shared" si="1"/>
        <v>188500</v>
      </c>
      <c r="AJ14" s="13">
        <f t="shared" si="1"/>
        <v>216000</v>
      </c>
      <c r="AK14" s="13">
        <f t="shared" si="1"/>
        <v>233500</v>
      </c>
      <c r="AL14" s="68">
        <f t="shared" si="1"/>
        <v>253000</v>
      </c>
    </row>
    <row r="15" spans="2:38" x14ac:dyDescent="0.2">
      <c r="B15" s="4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68"/>
    </row>
    <row r="16" spans="2:38" x14ac:dyDescent="0.2">
      <c r="B16" s="49" t="s">
        <v>120</v>
      </c>
      <c r="C16" s="13">
        <f>COGS!C10</f>
        <v>5000</v>
      </c>
      <c r="D16" s="13">
        <f>COGS!D10</f>
        <v>5000</v>
      </c>
      <c r="E16" s="13">
        <f>COGS!E10</f>
        <v>5000</v>
      </c>
      <c r="F16" s="13">
        <f>COGS!F10</f>
        <v>5000</v>
      </c>
      <c r="G16" s="13">
        <f>COGS!G10</f>
        <v>5000</v>
      </c>
      <c r="H16" s="13">
        <f>COGS!H10</f>
        <v>5000</v>
      </c>
      <c r="I16" s="13">
        <f>COGS!I10</f>
        <v>5000</v>
      </c>
      <c r="J16" s="13">
        <f>COGS!J10</f>
        <v>5000</v>
      </c>
      <c r="K16" s="13">
        <f>COGS!K10</f>
        <v>5000</v>
      </c>
      <c r="L16" s="13">
        <f>COGS!L10</f>
        <v>5000</v>
      </c>
      <c r="M16" s="13">
        <f>COGS!M10</f>
        <v>7500</v>
      </c>
      <c r="N16" s="13">
        <f>COGS!N10</f>
        <v>8000</v>
      </c>
      <c r="O16" s="13">
        <f>COGS!O10</f>
        <v>8500</v>
      </c>
      <c r="P16" s="13">
        <f>COGS!P10</f>
        <v>9000</v>
      </c>
      <c r="Q16" s="13">
        <f>COGS!Q10</f>
        <v>9500</v>
      </c>
      <c r="R16" s="13">
        <f>COGS!R10</f>
        <v>10500</v>
      </c>
      <c r="S16" s="13">
        <f>COGS!S10</f>
        <v>19000</v>
      </c>
      <c r="T16" s="13">
        <f>COGS!T10</f>
        <v>21000</v>
      </c>
      <c r="U16" s="13">
        <f>COGS!U10</f>
        <v>23000</v>
      </c>
      <c r="V16" s="13">
        <f>COGS!V10</f>
        <v>25500</v>
      </c>
      <c r="W16" s="13">
        <f>COGS!W10</f>
        <v>28000</v>
      </c>
      <c r="X16" s="13">
        <f>COGS!X10</f>
        <v>31000</v>
      </c>
      <c r="Y16" s="13">
        <f>COGS!Y10</f>
        <v>41500</v>
      </c>
      <c r="Z16" s="13">
        <f>COGS!Z10</f>
        <v>46000</v>
      </c>
      <c r="AA16" s="13">
        <f>COGS!AA10</f>
        <v>51000</v>
      </c>
      <c r="AB16" s="13">
        <f>COGS!AB10</f>
        <v>56500</v>
      </c>
      <c r="AC16" s="13">
        <f>COGS!AC10</f>
        <v>70000</v>
      </c>
      <c r="AD16" s="13">
        <f>COGS!AD10</f>
        <v>77500</v>
      </c>
      <c r="AE16" s="13">
        <f>COGS!AE10</f>
        <v>86000</v>
      </c>
      <c r="AF16" s="13">
        <f>COGS!AF10</f>
        <v>95000</v>
      </c>
      <c r="AG16" s="13">
        <f>COGS!AG10</f>
        <v>112500</v>
      </c>
      <c r="AH16" s="13">
        <f>COGS!AH10</f>
        <v>124500</v>
      </c>
      <c r="AI16" s="13">
        <f>COGS!AI10</f>
        <v>138000</v>
      </c>
      <c r="AJ16" s="13">
        <f>COGS!AJ10</f>
        <v>160500</v>
      </c>
      <c r="AK16" s="13">
        <f>COGS!AK10</f>
        <v>178000</v>
      </c>
      <c r="AL16" s="68">
        <f>COGS!AL10</f>
        <v>197500</v>
      </c>
    </row>
    <row r="17" spans="2:38" x14ac:dyDescent="0.2">
      <c r="B17" s="46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68"/>
    </row>
    <row r="18" spans="2:38" x14ac:dyDescent="0.2">
      <c r="B18" s="48" t="s">
        <v>121</v>
      </c>
      <c r="C18" s="13">
        <f>COGS!C13</f>
        <v>5000</v>
      </c>
      <c r="D18" s="13">
        <f>COGS!D13</f>
        <v>5000</v>
      </c>
      <c r="E18" s="13">
        <f>COGS!E13</f>
        <v>5000</v>
      </c>
      <c r="F18" s="13">
        <f>COGS!F13</f>
        <v>5000</v>
      </c>
      <c r="G18" s="13">
        <f>COGS!G13</f>
        <v>5000</v>
      </c>
      <c r="H18" s="13">
        <f>COGS!H13</f>
        <v>5000</v>
      </c>
      <c r="I18" s="13">
        <f>COGS!I13</f>
        <v>5000</v>
      </c>
      <c r="J18" s="13">
        <f>COGS!J13</f>
        <v>5000</v>
      </c>
      <c r="K18" s="13">
        <f>COGS!K13</f>
        <v>5000</v>
      </c>
      <c r="L18" s="13">
        <f>COGS!L13</f>
        <v>5000</v>
      </c>
      <c r="M18" s="13">
        <f>COGS!M13</f>
        <v>10000</v>
      </c>
      <c r="N18" s="13">
        <f>COGS!N13</f>
        <v>10000</v>
      </c>
      <c r="O18" s="13">
        <f>COGS!O13</f>
        <v>10000</v>
      </c>
      <c r="P18" s="13">
        <f>COGS!P13</f>
        <v>10000</v>
      </c>
      <c r="Q18" s="13">
        <f>COGS!Q13</f>
        <v>10000</v>
      </c>
      <c r="R18" s="13">
        <f>COGS!R13</f>
        <v>10000</v>
      </c>
      <c r="S18" s="13">
        <f>COGS!S13</f>
        <v>15000</v>
      </c>
      <c r="T18" s="13">
        <f>COGS!T13</f>
        <v>15000</v>
      </c>
      <c r="U18" s="13">
        <f>COGS!U13</f>
        <v>15000</v>
      </c>
      <c r="V18" s="13">
        <f>COGS!V13</f>
        <v>15000</v>
      </c>
      <c r="W18" s="13">
        <f>COGS!W13</f>
        <v>15000</v>
      </c>
      <c r="X18" s="13">
        <f>COGS!X13</f>
        <v>15000</v>
      </c>
      <c r="Y18" s="13">
        <f>COGS!Y13</f>
        <v>15000</v>
      </c>
      <c r="Z18" s="13">
        <f>COGS!Z13</f>
        <v>15000</v>
      </c>
      <c r="AA18" s="13">
        <f>COGS!AA13</f>
        <v>15000</v>
      </c>
      <c r="AB18" s="13">
        <f>COGS!AB13</f>
        <v>15000</v>
      </c>
      <c r="AC18" s="13">
        <f>COGS!AC13</f>
        <v>20000</v>
      </c>
      <c r="AD18" s="13">
        <f>COGS!AD13</f>
        <v>20000</v>
      </c>
      <c r="AE18" s="13">
        <f>COGS!AE13</f>
        <v>20000</v>
      </c>
      <c r="AF18" s="13">
        <f>COGS!AF13</f>
        <v>20000</v>
      </c>
      <c r="AG18" s="13">
        <f>COGS!AG13</f>
        <v>25000</v>
      </c>
      <c r="AH18" s="13">
        <f>COGS!AH13</f>
        <v>25000</v>
      </c>
      <c r="AI18" s="13">
        <f>COGS!AI13</f>
        <v>25000</v>
      </c>
      <c r="AJ18" s="13">
        <f>COGS!AJ13</f>
        <v>30000</v>
      </c>
      <c r="AK18" s="13">
        <f>COGS!AK13</f>
        <v>30000</v>
      </c>
      <c r="AL18" s="68">
        <f>COGS!AL13</f>
        <v>30000</v>
      </c>
    </row>
    <row r="19" spans="2:38" x14ac:dyDescent="0.2">
      <c r="B19" s="48" t="s">
        <v>122</v>
      </c>
      <c r="C19" s="13">
        <f>COGS!C16</f>
        <v>3500</v>
      </c>
      <c r="D19" s="13">
        <f>COGS!D16</f>
        <v>3500</v>
      </c>
      <c r="E19" s="13">
        <f>COGS!E16</f>
        <v>3500</v>
      </c>
      <c r="F19" s="13">
        <f>COGS!F16</f>
        <v>3500</v>
      </c>
      <c r="G19" s="13">
        <f>COGS!G16</f>
        <v>3500</v>
      </c>
      <c r="H19" s="13">
        <f>COGS!H16</f>
        <v>3500</v>
      </c>
      <c r="I19" s="13">
        <f>COGS!I16</f>
        <v>3500</v>
      </c>
      <c r="J19" s="13">
        <f>COGS!J16</f>
        <v>3500</v>
      </c>
      <c r="K19" s="13">
        <f>COGS!K16</f>
        <v>3500</v>
      </c>
      <c r="L19" s="13">
        <f>COGS!L16</f>
        <v>3500</v>
      </c>
      <c r="M19" s="13">
        <f>COGS!M16</f>
        <v>3500</v>
      </c>
      <c r="N19" s="13">
        <f>COGS!N16</f>
        <v>3500</v>
      </c>
      <c r="O19" s="13">
        <f>COGS!O16</f>
        <v>3500</v>
      </c>
      <c r="P19" s="13">
        <f>COGS!P16</f>
        <v>3500</v>
      </c>
      <c r="Q19" s="13">
        <f>COGS!Q16</f>
        <v>3500</v>
      </c>
      <c r="R19" s="13">
        <f>COGS!R16</f>
        <v>3500</v>
      </c>
      <c r="S19" s="13">
        <f>COGS!S16</f>
        <v>3500</v>
      </c>
      <c r="T19" s="13">
        <f>COGS!T16</f>
        <v>3500</v>
      </c>
      <c r="U19" s="13">
        <f>COGS!U16</f>
        <v>3500</v>
      </c>
      <c r="V19" s="13">
        <f>COGS!V16</f>
        <v>3500</v>
      </c>
      <c r="W19" s="13">
        <f>COGS!W16</f>
        <v>3500</v>
      </c>
      <c r="X19" s="13">
        <f>COGS!X16</f>
        <v>3500</v>
      </c>
      <c r="Y19" s="13">
        <f>COGS!Y16</f>
        <v>7000</v>
      </c>
      <c r="Z19" s="13">
        <f>COGS!Z16</f>
        <v>7000</v>
      </c>
      <c r="AA19" s="13">
        <f>COGS!AA16</f>
        <v>7000</v>
      </c>
      <c r="AB19" s="13">
        <f>COGS!AB16</f>
        <v>7000</v>
      </c>
      <c r="AC19" s="13">
        <f>COGS!AC16</f>
        <v>7000</v>
      </c>
      <c r="AD19" s="13">
        <f>COGS!AD16</f>
        <v>7000</v>
      </c>
      <c r="AE19" s="13">
        <f>COGS!AE16</f>
        <v>7000</v>
      </c>
      <c r="AF19" s="13">
        <f>COGS!AF16</f>
        <v>7000</v>
      </c>
      <c r="AG19" s="13">
        <f>COGS!AG16</f>
        <v>10500</v>
      </c>
      <c r="AH19" s="13">
        <f>COGS!AH16</f>
        <v>10500</v>
      </c>
      <c r="AI19" s="13">
        <f>COGS!AI16</f>
        <v>10500</v>
      </c>
      <c r="AJ19" s="13">
        <f>COGS!AJ16</f>
        <v>10500</v>
      </c>
      <c r="AK19" s="13">
        <f>COGS!AK16</f>
        <v>10500</v>
      </c>
      <c r="AL19" s="68">
        <f>COGS!AL16</f>
        <v>10500</v>
      </c>
    </row>
    <row r="20" spans="2:38" x14ac:dyDescent="0.2">
      <c r="B20" s="48" t="s">
        <v>123</v>
      </c>
      <c r="C20" s="13">
        <f>COGS!C19</f>
        <v>5000</v>
      </c>
      <c r="D20" s="13">
        <f>COGS!D19</f>
        <v>5000</v>
      </c>
      <c r="E20" s="13">
        <f>COGS!E19</f>
        <v>5000</v>
      </c>
      <c r="F20" s="13">
        <f>COGS!F19</f>
        <v>5000</v>
      </c>
      <c r="G20" s="13">
        <f>COGS!G19</f>
        <v>5000</v>
      </c>
      <c r="H20" s="13">
        <f>COGS!H19</f>
        <v>5000</v>
      </c>
      <c r="I20" s="13">
        <f>COGS!I19</f>
        <v>5000</v>
      </c>
      <c r="J20" s="13">
        <f>COGS!J19</f>
        <v>5000</v>
      </c>
      <c r="K20" s="13">
        <f>COGS!K19</f>
        <v>5000</v>
      </c>
      <c r="L20" s="13">
        <f>COGS!L19</f>
        <v>5000</v>
      </c>
      <c r="M20" s="13">
        <f>COGS!M19</f>
        <v>5000</v>
      </c>
      <c r="N20" s="13">
        <f>COGS!N19</f>
        <v>5000</v>
      </c>
      <c r="O20" s="13">
        <f>COGS!O19</f>
        <v>5000</v>
      </c>
      <c r="P20" s="13">
        <f>COGS!P19</f>
        <v>5000</v>
      </c>
      <c r="Q20" s="13">
        <f>COGS!Q19</f>
        <v>5000</v>
      </c>
      <c r="R20" s="13">
        <f>COGS!R19</f>
        <v>5000</v>
      </c>
      <c r="S20" s="13">
        <f>COGS!S19</f>
        <v>5000</v>
      </c>
      <c r="T20" s="13">
        <f>COGS!T19</f>
        <v>5000</v>
      </c>
      <c r="U20" s="13">
        <f>COGS!U19</f>
        <v>5000</v>
      </c>
      <c r="V20" s="13">
        <f>COGS!V19</f>
        <v>5000</v>
      </c>
      <c r="W20" s="13">
        <f>COGS!W19</f>
        <v>5000</v>
      </c>
      <c r="X20" s="13">
        <f>COGS!X19</f>
        <v>5000</v>
      </c>
      <c r="Y20" s="13">
        <f>COGS!Y19</f>
        <v>10000</v>
      </c>
      <c r="Z20" s="13">
        <f>COGS!Z19</f>
        <v>10000</v>
      </c>
      <c r="AA20" s="13">
        <f>COGS!AA19</f>
        <v>10000</v>
      </c>
      <c r="AB20" s="13">
        <f>COGS!AB19</f>
        <v>10000</v>
      </c>
      <c r="AC20" s="13">
        <f>COGS!AC19</f>
        <v>10000</v>
      </c>
      <c r="AD20" s="13">
        <f>COGS!AD19</f>
        <v>10000</v>
      </c>
      <c r="AE20" s="13">
        <f>COGS!AE19</f>
        <v>10000</v>
      </c>
      <c r="AF20" s="13">
        <f>COGS!AF19</f>
        <v>10000</v>
      </c>
      <c r="AG20" s="13">
        <f>COGS!AG19</f>
        <v>15000</v>
      </c>
      <c r="AH20" s="13">
        <f>COGS!AH19</f>
        <v>15000</v>
      </c>
      <c r="AI20" s="13">
        <f>COGS!AI19</f>
        <v>15000</v>
      </c>
      <c r="AJ20" s="13">
        <f>COGS!AJ19</f>
        <v>15000</v>
      </c>
      <c r="AK20" s="13">
        <f>COGS!AK19</f>
        <v>15000</v>
      </c>
      <c r="AL20" s="68">
        <f>COGS!AL19</f>
        <v>15000</v>
      </c>
    </row>
    <row r="21" spans="2:38" x14ac:dyDescent="0.2">
      <c r="B21" s="45"/>
      <c r="AL21" s="69"/>
    </row>
    <row r="22" spans="2:38" x14ac:dyDescent="0.2">
      <c r="B22" s="42" t="s">
        <v>105</v>
      </c>
      <c r="C22" s="13">
        <f>C24+C25+C27+C33</f>
        <v>189000</v>
      </c>
      <c r="D22" s="13">
        <f t="shared" ref="D22:AL22" si="2">D24+D25+D27+D33</f>
        <v>189000</v>
      </c>
      <c r="E22" s="13">
        <f t="shared" si="2"/>
        <v>191500</v>
      </c>
      <c r="F22" s="13">
        <f t="shared" si="2"/>
        <v>195600</v>
      </c>
      <c r="G22" s="13">
        <f t="shared" si="2"/>
        <v>195704</v>
      </c>
      <c r="H22" s="13">
        <f t="shared" si="2"/>
        <v>195812.16</v>
      </c>
      <c r="I22" s="13">
        <f t="shared" si="2"/>
        <v>195924.6464</v>
      </c>
      <c r="J22" s="13">
        <f t="shared" si="2"/>
        <v>196041.63225600001</v>
      </c>
      <c r="K22" s="13">
        <f t="shared" si="2"/>
        <v>196163.29754624001</v>
      </c>
      <c r="L22" s="13">
        <f t="shared" si="2"/>
        <v>196289.82944808961</v>
      </c>
      <c r="M22" s="13">
        <f t="shared" si="2"/>
        <v>203096.4226260132</v>
      </c>
      <c r="N22" s="13">
        <f t="shared" si="2"/>
        <v>197003.2795310537</v>
      </c>
      <c r="O22" s="13">
        <f t="shared" si="2"/>
        <v>197145.61071229586</v>
      </c>
      <c r="P22" s="13">
        <f t="shared" si="2"/>
        <v>197293.63514078769</v>
      </c>
      <c r="Q22" s="13">
        <f t="shared" si="2"/>
        <v>197447.58054641919</v>
      </c>
      <c r="R22" s="13">
        <f t="shared" si="2"/>
        <v>198052.68376827598</v>
      </c>
      <c r="S22" s="13">
        <f t="shared" si="2"/>
        <v>204894.19111900701</v>
      </c>
      <c r="T22" s="13">
        <f t="shared" si="2"/>
        <v>199282.35876376729</v>
      </c>
      <c r="U22" s="13">
        <f t="shared" si="2"/>
        <v>199462.45311431799</v>
      </c>
      <c r="V22" s="13">
        <f t="shared" si="2"/>
        <v>200094.75123889069</v>
      </c>
      <c r="W22" s="13">
        <f t="shared" si="2"/>
        <v>204289.54128844634</v>
      </c>
      <c r="X22" s="13">
        <f t="shared" si="2"/>
        <v>204937.1229399842</v>
      </c>
      <c r="Y22" s="13">
        <f t="shared" si="2"/>
        <v>211822.80785758357</v>
      </c>
      <c r="Z22" s="13">
        <f t="shared" si="2"/>
        <v>206701.92017188689</v>
      </c>
      <c r="AA22" s="13">
        <f t="shared" si="2"/>
        <v>207374.79697876237</v>
      </c>
      <c r="AB22" s="13">
        <f t="shared" si="2"/>
        <v>208056.78885791288</v>
      </c>
      <c r="AC22" s="13">
        <f t="shared" si="2"/>
        <v>215423.26041222937</v>
      </c>
      <c r="AD22" s="13">
        <f t="shared" si="2"/>
        <v>210339.59082871856</v>
      </c>
      <c r="AE22" s="13">
        <f t="shared" si="2"/>
        <v>211496.17446186731</v>
      </c>
      <c r="AF22" s="13">
        <f t="shared" si="2"/>
        <v>212218.421440342</v>
      </c>
      <c r="AG22" s="13">
        <f t="shared" si="2"/>
        <v>220071.75829795568</v>
      </c>
      <c r="AH22" s="13">
        <f t="shared" si="2"/>
        <v>219476.62862987391</v>
      </c>
      <c r="AI22" s="13">
        <f t="shared" si="2"/>
        <v>221123.49377506887</v>
      </c>
      <c r="AJ22" s="13">
        <f t="shared" si="2"/>
        <v>229457.83352607163</v>
      </c>
      <c r="AK22" s="13">
        <f t="shared" si="2"/>
        <v>225345.14686711447</v>
      </c>
      <c r="AL22" s="68">
        <f t="shared" si="2"/>
        <v>227475.95274179906</v>
      </c>
    </row>
    <row r="23" spans="2:38" x14ac:dyDescent="0.2">
      <c r="B23" s="42"/>
      <c r="AL23" s="69"/>
    </row>
    <row r="24" spans="2:38" x14ac:dyDescent="0.2">
      <c r="B24" s="48" t="s">
        <v>151</v>
      </c>
      <c r="C24" s="13">
        <f>OpEx!C6</f>
        <v>10000</v>
      </c>
      <c r="D24" s="13">
        <f>OpEx!D6</f>
        <v>10000</v>
      </c>
      <c r="E24" s="13">
        <f>OpEx!E6</f>
        <v>10000</v>
      </c>
      <c r="F24" s="13">
        <f>OpEx!F6</f>
        <v>10000</v>
      </c>
      <c r="G24" s="13">
        <f>OpEx!G6</f>
        <v>10000</v>
      </c>
      <c r="H24" s="13">
        <f>OpEx!H6</f>
        <v>10000</v>
      </c>
      <c r="I24" s="13">
        <f>OpEx!I6</f>
        <v>10000</v>
      </c>
      <c r="J24" s="13">
        <f>OpEx!J6</f>
        <v>10000</v>
      </c>
      <c r="K24" s="13">
        <f>OpEx!K6</f>
        <v>10000</v>
      </c>
      <c r="L24" s="13">
        <f>OpEx!L6</f>
        <v>10000</v>
      </c>
      <c r="M24" s="13">
        <f>OpEx!M6</f>
        <v>10000</v>
      </c>
      <c r="N24" s="13">
        <f>OpEx!N6</f>
        <v>10000</v>
      </c>
      <c r="O24" s="13">
        <f>OpEx!O6</f>
        <v>10000</v>
      </c>
      <c r="P24" s="13">
        <f>OpEx!P6</f>
        <v>10000</v>
      </c>
      <c r="Q24" s="13">
        <f>OpEx!Q6</f>
        <v>10000</v>
      </c>
      <c r="R24" s="13">
        <f>OpEx!R6</f>
        <v>10000</v>
      </c>
      <c r="S24" s="13">
        <f>OpEx!S6</f>
        <v>10000</v>
      </c>
      <c r="T24" s="13">
        <f>OpEx!T6</f>
        <v>10000</v>
      </c>
      <c r="U24" s="13">
        <f>OpEx!U6</f>
        <v>10000</v>
      </c>
      <c r="V24" s="13">
        <f>OpEx!V6</f>
        <v>10000</v>
      </c>
      <c r="W24" s="13">
        <f>OpEx!W6</f>
        <v>10000</v>
      </c>
      <c r="X24" s="13">
        <f>OpEx!X6</f>
        <v>10000</v>
      </c>
      <c r="Y24" s="13">
        <f>OpEx!Y6</f>
        <v>10000</v>
      </c>
      <c r="Z24" s="13">
        <f>OpEx!Z6</f>
        <v>10000</v>
      </c>
      <c r="AA24" s="13">
        <f>OpEx!AA6</f>
        <v>10000</v>
      </c>
      <c r="AB24" s="13">
        <f>OpEx!AB6</f>
        <v>10000</v>
      </c>
      <c r="AC24" s="13">
        <f>OpEx!AC6</f>
        <v>10000</v>
      </c>
      <c r="AD24" s="13">
        <f>OpEx!AD6</f>
        <v>10000</v>
      </c>
      <c r="AE24" s="13">
        <f>OpEx!AE6</f>
        <v>10000</v>
      </c>
      <c r="AF24" s="13">
        <f>OpEx!AF6</f>
        <v>10000</v>
      </c>
      <c r="AG24" s="13">
        <f>OpEx!AG6</f>
        <v>10000</v>
      </c>
      <c r="AH24" s="13">
        <f>OpEx!AH6</f>
        <v>10000</v>
      </c>
      <c r="AI24" s="13">
        <f>OpEx!AI6</f>
        <v>10000</v>
      </c>
      <c r="AJ24" s="13">
        <f>OpEx!AJ6</f>
        <v>10000</v>
      </c>
      <c r="AK24" s="13">
        <f>OpEx!AK6</f>
        <v>10000</v>
      </c>
      <c r="AL24" s="68">
        <f>OpEx!AL6</f>
        <v>10000</v>
      </c>
    </row>
    <row r="25" spans="2:38" x14ac:dyDescent="0.2">
      <c r="B25" s="48" t="s">
        <v>152</v>
      </c>
      <c r="C25" s="13">
        <f>OpEx!C7</f>
        <v>5000</v>
      </c>
      <c r="D25" s="13">
        <f>OpEx!D7</f>
        <v>5000</v>
      </c>
      <c r="E25" s="13">
        <f>OpEx!E7</f>
        <v>5000</v>
      </c>
      <c r="F25" s="13">
        <f>OpEx!F7</f>
        <v>5000</v>
      </c>
      <c r="G25" s="13">
        <f>OpEx!G7</f>
        <v>5000</v>
      </c>
      <c r="H25" s="13">
        <f>OpEx!H7</f>
        <v>5000</v>
      </c>
      <c r="I25" s="13">
        <f>OpEx!I7</f>
        <v>5000</v>
      </c>
      <c r="J25" s="13">
        <f>OpEx!J7</f>
        <v>5000</v>
      </c>
      <c r="K25" s="13">
        <f>OpEx!K7</f>
        <v>5000</v>
      </c>
      <c r="L25" s="13">
        <f>OpEx!L7</f>
        <v>5000</v>
      </c>
      <c r="M25" s="13">
        <f>OpEx!M7</f>
        <v>5000</v>
      </c>
      <c r="N25" s="13">
        <f>OpEx!N7</f>
        <v>5000</v>
      </c>
      <c r="O25" s="13">
        <f>OpEx!O7</f>
        <v>5000</v>
      </c>
      <c r="P25" s="13">
        <f>OpEx!P7</f>
        <v>5000</v>
      </c>
      <c r="Q25" s="13">
        <f>OpEx!Q7</f>
        <v>5000</v>
      </c>
      <c r="R25" s="13">
        <f>OpEx!R7</f>
        <v>5000</v>
      </c>
      <c r="S25" s="13">
        <f>OpEx!S7</f>
        <v>5000</v>
      </c>
      <c r="T25" s="13">
        <f>OpEx!T7</f>
        <v>5000</v>
      </c>
      <c r="U25" s="13">
        <f>OpEx!U7</f>
        <v>5000</v>
      </c>
      <c r="V25" s="13">
        <f>OpEx!V7</f>
        <v>5000</v>
      </c>
      <c r="W25" s="13">
        <f>OpEx!W7</f>
        <v>5000</v>
      </c>
      <c r="X25" s="13">
        <f>OpEx!X7</f>
        <v>5000</v>
      </c>
      <c r="Y25" s="13">
        <f>OpEx!Y7</f>
        <v>5000</v>
      </c>
      <c r="Z25" s="13">
        <f>OpEx!Z7</f>
        <v>5000</v>
      </c>
      <c r="AA25" s="13">
        <f>OpEx!AA7</f>
        <v>5000</v>
      </c>
      <c r="AB25" s="13">
        <f>OpEx!AB7</f>
        <v>5000</v>
      </c>
      <c r="AC25" s="13">
        <f>OpEx!AC7</f>
        <v>5000</v>
      </c>
      <c r="AD25" s="13">
        <f>OpEx!AD7</f>
        <v>5000</v>
      </c>
      <c r="AE25" s="13">
        <f>OpEx!AE7</f>
        <v>5000</v>
      </c>
      <c r="AF25" s="13">
        <f>OpEx!AF7</f>
        <v>5000</v>
      </c>
      <c r="AG25" s="13">
        <f>OpEx!AG7</f>
        <v>5000</v>
      </c>
      <c r="AH25" s="13">
        <f>OpEx!AH7</f>
        <v>5000</v>
      </c>
      <c r="AI25" s="13">
        <f>OpEx!AI7</f>
        <v>5000</v>
      </c>
      <c r="AJ25" s="13">
        <f>OpEx!AJ7</f>
        <v>5000</v>
      </c>
      <c r="AK25" s="13">
        <f>OpEx!AK7</f>
        <v>5000</v>
      </c>
      <c r="AL25" s="68">
        <f>OpEx!AL7</f>
        <v>5000</v>
      </c>
    </row>
    <row r="26" spans="2:38" x14ac:dyDescent="0.2">
      <c r="B26" s="45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68"/>
    </row>
    <row r="27" spans="2:38" x14ac:dyDescent="0.2">
      <c r="B27" s="48" t="s">
        <v>153</v>
      </c>
      <c r="C27" s="13">
        <f>SUM(C28:C31)</f>
        <v>174000</v>
      </c>
      <c r="D27" s="13">
        <f t="shared" ref="D27:AL27" si="3">SUM(D28:D31)</f>
        <v>174000</v>
      </c>
      <c r="E27" s="13">
        <f t="shared" si="3"/>
        <v>174000</v>
      </c>
      <c r="F27" s="13">
        <f t="shared" si="3"/>
        <v>178000</v>
      </c>
      <c r="G27" s="13">
        <f t="shared" si="3"/>
        <v>178000</v>
      </c>
      <c r="H27" s="13">
        <f t="shared" si="3"/>
        <v>178000</v>
      </c>
      <c r="I27" s="13">
        <f t="shared" si="3"/>
        <v>178000</v>
      </c>
      <c r="J27" s="13">
        <f t="shared" si="3"/>
        <v>178000</v>
      </c>
      <c r="K27" s="13">
        <f t="shared" si="3"/>
        <v>178000</v>
      </c>
      <c r="L27" s="13">
        <f t="shared" si="3"/>
        <v>178000</v>
      </c>
      <c r="M27" s="13">
        <f t="shared" si="3"/>
        <v>184675</v>
      </c>
      <c r="N27" s="13">
        <f t="shared" si="3"/>
        <v>178445</v>
      </c>
      <c r="O27" s="13">
        <f t="shared" si="3"/>
        <v>178445</v>
      </c>
      <c r="P27" s="13">
        <f t="shared" si="3"/>
        <v>178445</v>
      </c>
      <c r="Q27" s="13">
        <f t="shared" si="3"/>
        <v>178445</v>
      </c>
      <c r="R27" s="13">
        <f t="shared" si="3"/>
        <v>178890</v>
      </c>
      <c r="S27" s="13">
        <f t="shared" si="3"/>
        <v>185565</v>
      </c>
      <c r="T27" s="13">
        <f t="shared" si="3"/>
        <v>179780</v>
      </c>
      <c r="U27" s="13">
        <f t="shared" si="3"/>
        <v>179780</v>
      </c>
      <c r="V27" s="13">
        <f t="shared" si="3"/>
        <v>180225</v>
      </c>
      <c r="W27" s="13">
        <f t="shared" si="3"/>
        <v>184225</v>
      </c>
      <c r="X27" s="13">
        <f t="shared" si="3"/>
        <v>184670</v>
      </c>
      <c r="Y27" s="13">
        <f t="shared" si="3"/>
        <v>191345</v>
      </c>
      <c r="Z27" s="13">
        <f t="shared" si="3"/>
        <v>186005</v>
      </c>
      <c r="AA27" s="13">
        <f t="shared" si="3"/>
        <v>186450</v>
      </c>
      <c r="AB27" s="13">
        <f t="shared" si="3"/>
        <v>186895</v>
      </c>
      <c r="AC27" s="13">
        <f t="shared" si="3"/>
        <v>194015</v>
      </c>
      <c r="AD27" s="13">
        <f t="shared" si="3"/>
        <v>188675</v>
      </c>
      <c r="AE27" s="13">
        <f t="shared" si="3"/>
        <v>189565</v>
      </c>
      <c r="AF27" s="13">
        <f t="shared" si="3"/>
        <v>190010</v>
      </c>
      <c r="AG27" s="13">
        <f t="shared" si="3"/>
        <v>197575</v>
      </c>
      <c r="AH27" s="13">
        <f t="shared" si="3"/>
        <v>196680</v>
      </c>
      <c r="AI27" s="13">
        <f t="shared" si="3"/>
        <v>198015</v>
      </c>
      <c r="AJ27" s="13">
        <f t="shared" si="3"/>
        <v>206025</v>
      </c>
      <c r="AK27" s="13">
        <f t="shared" si="3"/>
        <v>201575</v>
      </c>
      <c r="AL27" s="68">
        <f t="shared" si="3"/>
        <v>203355</v>
      </c>
    </row>
    <row r="28" spans="2:38" x14ac:dyDescent="0.2">
      <c r="B28" s="47" t="s">
        <v>157</v>
      </c>
      <c r="C28" s="13">
        <f>OpEx!C10</f>
        <v>4000</v>
      </c>
      <c r="D28" s="13">
        <f>OpEx!D10</f>
        <v>4000</v>
      </c>
      <c r="E28" s="13">
        <f>OpEx!E10</f>
        <v>4000</v>
      </c>
      <c r="F28" s="13">
        <f>OpEx!F10</f>
        <v>8000</v>
      </c>
      <c r="G28" s="13">
        <f>OpEx!G10</f>
        <v>8000</v>
      </c>
      <c r="H28" s="13">
        <f>OpEx!H10</f>
        <v>8000</v>
      </c>
      <c r="I28" s="13">
        <f>OpEx!I10</f>
        <v>8000</v>
      </c>
      <c r="J28" s="13">
        <f>OpEx!J10</f>
        <v>8000</v>
      </c>
      <c r="K28" s="13">
        <f>OpEx!K10</f>
        <v>8000</v>
      </c>
      <c r="L28" s="13">
        <f>OpEx!L10</f>
        <v>8000</v>
      </c>
      <c r="M28" s="13">
        <f>OpEx!M10</f>
        <v>14675</v>
      </c>
      <c r="N28" s="13">
        <f>OpEx!N10</f>
        <v>8445</v>
      </c>
      <c r="O28" s="13">
        <f>OpEx!O10</f>
        <v>8445</v>
      </c>
      <c r="P28" s="13">
        <f>OpEx!P10</f>
        <v>8445</v>
      </c>
      <c r="Q28" s="13">
        <f>OpEx!Q10</f>
        <v>8445</v>
      </c>
      <c r="R28" s="13">
        <f>OpEx!R10</f>
        <v>8890</v>
      </c>
      <c r="S28" s="13">
        <f>OpEx!S10</f>
        <v>15565</v>
      </c>
      <c r="T28" s="13">
        <f>OpEx!T10</f>
        <v>9780</v>
      </c>
      <c r="U28" s="13">
        <f>OpEx!U10</f>
        <v>9780</v>
      </c>
      <c r="V28" s="13">
        <f>OpEx!V10</f>
        <v>10225</v>
      </c>
      <c r="W28" s="13">
        <f>OpEx!W10</f>
        <v>14225</v>
      </c>
      <c r="X28" s="13">
        <f>OpEx!X10</f>
        <v>14670</v>
      </c>
      <c r="Y28" s="13">
        <f>OpEx!Y10</f>
        <v>21345</v>
      </c>
      <c r="Z28" s="13">
        <f>OpEx!Z10</f>
        <v>16005</v>
      </c>
      <c r="AA28" s="13">
        <f>OpEx!AA10</f>
        <v>16450</v>
      </c>
      <c r="AB28" s="13">
        <f>OpEx!AB10</f>
        <v>16895</v>
      </c>
      <c r="AC28" s="13">
        <f>OpEx!AC10</f>
        <v>24015</v>
      </c>
      <c r="AD28" s="13">
        <f>OpEx!AD10</f>
        <v>18675</v>
      </c>
      <c r="AE28" s="13">
        <f>OpEx!AE10</f>
        <v>19565</v>
      </c>
      <c r="AF28" s="13">
        <f>OpEx!AF10</f>
        <v>20010</v>
      </c>
      <c r="AG28" s="13">
        <f>OpEx!AG10</f>
        <v>27575</v>
      </c>
      <c r="AH28" s="13">
        <f>OpEx!AH10</f>
        <v>26680</v>
      </c>
      <c r="AI28" s="13">
        <f>OpEx!AI10</f>
        <v>28015</v>
      </c>
      <c r="AJ28" s="13">
        <f>OpEx!AJ10</f>
        <v>36025</v>
      </c>
      <c r="AK28" s="13">
        <f>OpEx!AK10</f>
        <v>31575</v>
      </c>
      <c r="AL28" s="68">
        <f>OpEx!AL10</f>
        <v>33355</v>
      </c>
    </row>
    <row r="29" spans="2:38" x14ac:dyDescent="0.2">
      <c r="B29" s="47" t="s">
        <v>154</v>
      </c>
      <c r="C29" s="13">
        <f>OpEx!C15</f>
        <v>80000</v>
      </c>
      <c r="D29" s="13">
        <f>OpEx!D15</f>
        <v>80000</v>
      </c>
      <c r="E29" s="13">
        <f>OpEx!E15</f>
        <v>80000</v>
      </c>
      <c r="F29" s="13">
        <f>OpEx!F15</f>
        <v>80000</v>
      </c>
      <c r="G29" s="13">
        <f>OpEx!G15</f>
        <v>80000</v>
      </c>
      <c r="H29" s="13">
        <f>OpEx!H15</f>
        <v>80000</v>
      </c>
      <c r="I29" s="13">
        <f>OpEx!I15</f>
        <v>80000</v>
      </c>
      <c r="J29" s="13">
        <f>OpEx!J15</f>
        <v>80000</v>
      </c>
      <c r="K29" s="13">
        <f>OpEx!K15</f>
        <v>80000</v>
      </c>
      <c r="L29" s="13">
        <f>OpEx!L15</f>
        <v>80000</v>
      </c>
      <c r="M29" s="13">
        <f>OpEx!M15</f>
        <v>80000</v>
      </c>
      <c r="N29" s="13">
        <f>OpEx!N15</f>
        <v>80000</v>
      </c>
      <c r="O29" s="13">
        <f>OpEx!O15</f>
        <v>80000</v>
      </c>
      <c r="P29" s="13">
        <f>OpEx!P15</f>
        <v>80000</v>
      </c>
      <c r="Q29" s="13">
        <f>OpEx!Q15</f>
        <v>80000</v>
      </c>
      <c r="R29" s="13">
        <f>OpEx!R15</f>
        <v>80000</v>
      </c>
      <c r="S29" s="13">
        <f>OpEx!S15</f>
        <v>80000</v>
      </c>
      <c r="T29" s="13">
        <f>OpEx!T15</f>
        <v>80000</v>
      </c>
      <c r="U29" s="13">
        <f>OpEx!U15</f>
        <v>80000</v>
      </c>
      <c r="V29" s="13">
        <f>OpEx!V15</f>
        <v>80000</v>
      </c>
      <c r="W29" s="13">
        <f>OpEx!W15</f>
        <v>80000</v>
      </c>
      <c r="X29" s="13">
        <f>OpEx!X15</f>
        <v>80000</v>
      </c>
      <c r="Y29" s="13">
        <f>OpEx!Y15</f>
        <v>80000</v>
      </c>
      <c r="Z29" s="13">
        <f>OpEx!Z15</f>
        <v>80000</v>
      </c>
      <c r="AA29" s="13">
        <f>OpEx!AA15</f>
        <v>80000</v>
      </c>
      <c r="AB29" s="13">
        <f>OpEx!AB15</f>
        <v>80000</v>
      </c>
      <c r="AC29" s="13">
        <f>OpEx!AC15</f>
        <v>80000</v>
      </c>
      <c r="AD29" s="13">
        <f>OpEx!AD15</f>
        <v>80000</v>
      </c>
      <c r="AE29" s="13">
        <f>OpEx!AE15</f>
        <v>80000</v>
      </c>
      <c r="AF29" s="13">
        <f>OpEx!AF15</f>
        <v>80000</v>
      </c>
      <c r="AG29" s="13">
        <f>OpEx!AG15</f>
        <v>80000</v>
      </c>
      <c r="AH29" s="13">
        <f>OpEx!AH15</f>
        <v>80000</v>
      </c>
      <c r="AI29" s="13">
        <f>OpEx!AI15</f>
        <v>80000</v>
      </c>
      <c r="AJ29" s="13">
        <f>OpEx!AJ15</f>
        <v>80000</v>
      </c>
      <c r="AK29" s="13">
        <f>OpEx!AK15</f>
        <v>80000</v>
      </c>
      <c r="AL29" s="68">
        <f>OpEx!AL15</f>
        <v>80000</v>
      </c>
    </row>
    <row r="30" spans="2:38" x14ac:dyDescent="0.2">
      <c r="B30" s="47" t="s">
        <v>155</v>
      </c>
      <c r="C30" s="13">
        <f>OpEx!C16</f>
        <v>60000</v>
      </c>
      <c r="D30" s="13">
        <f>OpEx!D16</f>
        <v>60000</v>
      </c>
      <c r="E30" s="13">
        <f>OpEx!E16</f>
        <v>60000</v>
      </c>
      <c r="F30" s="13">
        <f>OpEx!F16</f>
        <v>60000</v>
      </c>
      <c r="G30" s="13">
        <f>OpEx!G16</f>
        <v>60000</v>
      </c>
      <c r="H30" s="13">
        <f>OpEx!H16</f>
        <v>60000</v>
      </c>
      <c r="I30" s="13">
        <f>OpEx!I16</f>
        <v>60000</v>
      </c>
      <c r="J30" s="13">
        <f>OpEx!J16</f>
        <v>60000</v>
      </c>
      <c r="K30" s="13">
        <f>OpEx!K16</f>
        <v>60000</v>
      </c>
      <c r="L30" s="13">
        <f>OpEx!L16</f>
        <v>60000</v>
      </c>
      <c r="M30" s="13">
        <f>OpEx!M16</f>
        <v>60000</v>
      </c>
      <c r="N30" s="13">
        <f>OpEx!N16</f>
        <v>60000</v>
      </c>
      <c r="O30" s="13">
        <f>OpEx!O16</f>
        <v>60000</v>
      </c>
      <c r="P30" s="13">
        <f>OpEx!P16</f>
        <v>60000</v>
      </c>
      <c r="Q30" s="13">
        <f>OpEx!Q16</f>
        <v>60000</v>
      </c>
      <c r="R30" s="13">
        <f>OpEx!R16</f>
        <v>60000</v>
      </c>
      <c r="S30" s="13">
        <f>OpEx!S16</f>
        <v>60000</v>
      </c>
      <c r="T30" s="13">
        <f>OpEx!T16</f>
        <v>60000</v>
      </c>
      <c r="U30" s="13">
        <f>OpEx!U16</f>
        <v>60000</v>
      </c>
      <c r="V30" s="13">
        <f>OpEx!V16</f>
        <v>60000</v>
      </c>
      <c r="W30" s="13">
        <f>OpEx!W16</f>
        <v>60000</v>
      </c>
      <c r="X30" s="13">
        <f>OpEx!X16</f>
        <v>60000</v>
      </c>
      <c r="Y30" s="13">
        <f>OpEx!Y16</f>
        <v>60000</v>
      </c>
      <c r="Z30" s="13">
        <f>OpEx!Z16</f>
        <v>60000</v>
      </c>
      <c r="AA30" s="13">
        <f>OpEx!AA16</f>
        <v>60000</v>
      </c>
      <c r="AB30" s="13">
        <f>OpEx!AB16</f>
        <v>60000</v>
      </c>
      <c r="AC30" s="13">
        <f>OpEx!AC16</f>
        <v>60000</v>
      </c>
      <c r="AD30" s="13">
        <f>OpEx!AD16</f>
        <v>60000</v>
      </c>
      <c r="AE30" s="13">
        <f>OpEx!AE16</f>
        <v>60000</v>
      </c>
      <c r="AF30" s="13">
        <f>OpEx!AF16</f>
        <v>60000</v>
      </c>
      <c r="AG30" s="13">
        <f>OpEx!AG16</f>
        <v>60000</v>
      </c>
      <c r="AH30" s="13">
        <f>OpEx!AH16</f>
        <v>60000</v>
      </c>
      <c r="AI30" s="13">
        <f>OpEx!AI16</f>
        <v>60000</v>
      </c>
      <c r="AJ30" s="13">
        <f>OpEx!AJ16</f>
        <v>60000</v>
      </c>
      <c r="AK30" s="13">
        <f>OpEx!AK16</f>
        <v>60000</v>
      </c>
      <c r="AL30" s="68">
        <f>OpEx!AL16</f>
        <v>60000</v>
      </c>
    </row>
    <row r="31" spans="2:38" x14ac:dyDescent="0.2">
      <c r="B31" s="47" t="s">
        <v>156</v>
      </c>
      <c r="C31" s="13">
        <f>OpEx!C17</f>
        <v>30000</v>
      </c>
      <c r="D31" s="13">
        <f>OpEx!D17</f>
        <v>30000</v>
      </c>
      <c r="E31" s="13">
        <f>OpEx!E17</f>
        <v>30000</v>
      </c>
      <c r="F31" s="13">
        <f>OpEx!F17</f>
        <v>30000</v>
      </c>
      <c r="G31" s="13">
        <f>OpEx!G17</f>
        <v>30000</v>
      </c>
      <c r="H31" s="13">
        <f>OpEx!H17</f>
        <v>30000</v>
      </c>
      <c r="I31" s="13">
        <f>OpEx!I17</f>
        <v>30000</v>
      </c>
      <c r="J31" s="13">
        <f>OpEx!J17</f>
        <v>30000</v>
      </c>
      <c r="K31" s="13">
        <f>OpEx!K17</f>
        <v>30000</v>
      </c>
      <c r="L31" s="13">
        <f>OpEx!L17</f>
        <v>30000</v>
      </c>
      <c r="M31" s="13">
        <f>OpEx!M17</f>
        <v>30000</v>
      </c>
      <c r="N31" s="13">
        <f>OpEx!N17</f>
        <v>30000</v>
      </c>
      <c r="O31" s="13">
        <f>OpEx!O17</f>
        <v>30000</v>
      </c>
      <c r="P31" s="13">
        <f>OpEx!P17</f>
        <v>30000</v>
      </c>
      <c r="Q31" s="13">
        <f>OpEx!Q17</f>
        <v>30000</v>
      </c>
      <c r="R31" s="13">
        <f>OpEx!R17</f>
        <v>30000</v>
      </c>
      <c r="S31" s="13">
        <f>OpEx!S17</f>
        <v>30000</v>
      </c>
      <c r="T31" s="13">
        <f>OpEx!T17</f>
        <v>30000</v>
      </c>
      <c r="U31" s="13">
        <f>OpEx!U17</f>
        <v>30000</v>
      </c>
      <c r="V31" s="13">
        <f>OpEx!V17</f>
        <v>30000</v>
      </c>
      <c r="W31" s="13">
        <f>OpEx!W17</f>
        <v>30000</v>
      </c>
      <c r="X31" s="13">
        <f>OpEx!X17</f>
        <v>30000</v>
      </c>
      <c r="Y31" s="13">
        <f>OpEx!Y17</f>
        <v>30000</v>
      </c>
      <c r="Z31" s="13">
        <f>OpEx!Z17</f>
        <v>30000</v>
      </c>
      <c r="AA31" s="13">
        <f>OpEx!AA17</f>
        <v>30000</v>
      </c>
      <c r="AB31" s="13">
        <f>OpEx!AB17</f>
        <v>30000</v>
      </c>
      <c r="AC31" s="13">
        <f>OpEx!AC17</f>
        <v>30000</v>
      </c>
      <c r="AD31" s="13">
        <f>OpEx!AD17</f>
        <v>30000</v>
      </c>
      <c r="AE31" s="13">
        <f>OpEx!AE17</f>
        <v>30000</v>
      </c>
      <c r="AF31" s="13">
        <f>OpEx!AF17</f>
        <v>30000</v>
      </c>
      <c r="AG31" s="13">
        <f>OpEx!AG17</f>
        <v>30000</v>
      </c>
      <c r="AH31" s="13">
        <f>OpEx!AH17</f>
        <v>30000</v>
      </c>
      <c r="AI31" s="13">
        <f>OpEx!AI17</f>
        <v>30000</v>
      </c>
      <c r="AJ31" s="13">
        <f>OpEx!AJ17</f>
        <v>30000</v>
      </c>
      <c r="AK31" s="13">
        <f>OpEx!AK17</f>
        <v>30000</v>
      </c>
      <c r="AL31" s="68">
        <f>OpEx!AL17</f>
        <v>30000</v>
      </c>
    </row>
    <row r="32" spans="2:38" x14ac:dyDescent="0.2"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68"/>
    </row>
    <row r="33" spans="2:38" x14ac:dyDescent="0.2">
      <c r="B33" s="48" t="s">
        <v>158</v>
      </c>
      <c r="C33" s="13">
        <f>OpEx!C9</f>
        <v>0</v>
      </c>
      <c r="D33" s="13">
        <f>OpEx!D9</f>
        <v>0</v>
      </c>
      <c r="E33" s="13">
        <f>OpEx!E9</f>
        <v>2500</v>
      </c>
      <c r="F33" s="13">
        <f>OpEx!F9</f>
        <v>2600</v>
      </c>
      <c r="G33" s="13">
        <f>OpEx!G9</f>
        <v>2704</v>
      </c>
      <c r="H33" s="13">
        <f>OpEx!H9</f>
        <v>2812.1600000000003</v>
      </c>
      <c r="I33" s="13">
        <f>OpEx!I9</f>
        <v>2924.6464000000005</v>
      </c>
      <c r="J33" s="13">
        <f>OpEx!J9</f>
        <v>3041.6322560000012</v>
      </c>
      <c r="K33" s="13">
        <f>OpEx!K9</f>
        <v>3163.2975462400013</v>
      </c>
      <c r="L33" s="13">
        <f>OpEx!L9</f>
        <v>3289.8294480896016</v>
      </c>
      <c r="M33" s="13">
        <f>OpEx!M9</f>
        <v>3421.4226260131859</v>
      </c>
      <c r="N33" s="13">
        <f>OpEx!N9</f>
        <v>3558.2795310537135</v>
      </c>
      <c r="O33" s="13">
        <f>OpEx!O9</f>
        <v>3700.6107122958624</v>
      </c>
      <c r="P33" s="13">
        <f>OpEx!P9</f>
        <v>3848.6351407876973</v>
      </c>
      <c r="Q33" s="13">
        <f>OpEx!Q9</f>
        <v>4002.5805464192049</v>
      </c>
      <c r="R33" s="13">
        <f>OpEx!R9</f>
        <v>4162.6837682759733</v>
      </c>
      <c r="S33" s="13">
        <f>OpEx!S9</f>
        <v>4329.1911190070123</v>
      </c>
      <c r="T33" s="13">
        <f>OpEx!T9</f>
        <v>4502.3587637672927</v>
      </c>
      <c r="U33" s="13">
        <f>OpEx!U9</f>
        <v>4682.4531143179847</v>
      </c>
      <c r="V33" s="13">
        <f>OpEx!V9</f>
        <v>4869.7512388907044</v>
      </c>
      <c r="W33" s="13">
        <f>OpEx!W9</f>
        <v>5064.5412884463331</v>
      </c>
      <c r="X33" s="13">
        <f>OpEx!X9</f>
        <v>5267.1229399841859</v>
      </c>
      <c r="Y33" s="13">
        <f>OpEx!Y9</f>
        <v>5477.8078575835534</v>
      </c>
      <c r="Z33" s="13">
        <f>OpEx!Z9</f>
        <v>5696.9201718868962</v>
      </c>
      <c r="AA33" s="13">
        <f>OpEx!AA9</f>
        <v>5924.7969787623724</v>
      </c>
      <c r="AB33" s="13">
        <f>OpEx!AB9</f>
        <v>6161.7888579128676</v>
      </c>
      <c r="AC33" s="13">
        <f>OpEx!AC9</f>
        <v>6408.2604122293824</v>
      </c>
      <c r="AD33" s="13">
        <f>OpEx!AD9</f>
        <v>6664.5908287185584</v>
      </c>
      <c r="AE33" s="13">
        <f>OpEx!AE9</f>
        <v>6931.174461867301</v>
      </c>
      <c r="AF33" s="13">
        <f>OpEx!AF9</f>
        <v>7208.4214403419937</v>
      </c>
      <c r="AG33" s="13">
        <f>OpEx!AG9</f>
        <v>7496.7582979556737</v>
      </c>
      <c r="AH33" s="13">
        <f>OpEx!AH9</f>
        <v>7796.6286298739005</v>
      </c>
      <c r="AI33" s="13">
        <f>OpEx!AI9</f>
        <v>8108.4937750688559</v>
      </c>
      <c r="AJ33" s="13">
        <f>OpEx!AJ9</f>
        <v>8432.8335260716121</v>
      </c>
      <c r="AK33" s="13">
        <f>OpEx!AK9</f>
        <v>8770.1468671144758</v>
      </c>
      <c r="AL33" s="68">
        <f>OpEx!AL9</f>
        <v>9120.9527417990575</v>
      </c>
    </row>
    <row r="34" spans="2:38" x14ac:dyDescent="0.2">
      <c r="B34" s="44"/>
      <c r="AL34" s="69"/>
    </row>
    <row r="35" spans="2:38" x14ac:dyDescent="0.2">
      <c r="B35" s="42" t="s">
        <v>159</v>
      </c>
      <c r="C35" s="52">
        <f>C9-C14-C22</f>
        <v>-207500</v>
      </c>
      <c r="D35" s="52">
        <f t="shared" ref="D35:AL35" si="4">D9-D14-D22</f>
        <v>-207500</v>
      </c>
      <c r="E35" s="52">
        <f t="shared" si="4"/>
        <v>-210000</v>
      </c>
      <c r="F35" s="52">
        <f t="shared" si="4"/>
        <v>-214100</v>
      </c>
      <c r="G35" s="52">
        <f t="shared" si="4"/>
        <v>-214204</v>
      </c>
      <c r="H35" s="52">
        <f t="shared" si="4"/>
        <v>-214312.16</v>
      </c>
      <c r="I35" s="52">
        <f t="shared" si="4"/>
        <v>-214424.6464</v>
      </c>
      <c r="J35" s="52">
        <f t="shared" si="4"/>
        <v>-214541.63225600001</v>
      </c>
      <c r="K35" s="52">
        <f t="shared" si="4"/>
        <v>-214663.29754624001</v>
      </c>
      <c r="L35" s="52">
        <f t="shared" si="4"/>
        <v>-214789.82944808961</v>
      </c>
      <c r="M35" s="52">
        <f t="shared" si="4"/>
        <v>-147346.4226260132</v>
      </c>
      <c r="N35" s="52">
        <f t="shared" si="4"/>
        <v>-151303.2795310537</v>
      </c>
      <c r="O35" s="52">
        <f t="shared" si="4"/>
        <v>-147495.61071229586</v>
      </c>
      <c r="P35" s="52">
        <f t="shared" si="4"/>
        <v>-143693.63514078769</v>
      </c>
      <c r="Q35" s="52">
        <f t="shared" si="4"/>
        <v>-139897.58054641919</v>
      </c>
      <c r="R35" s="52">
        <f t="shared" si="4"/>
        <v>-131602.68376827598</v>
      </c>
      <c r="S35" s="52">
        <f t="shared" si="4"/>
        <v>-61294.19111900701</v>
      </c>
      <c r="T35" s="52">
        <f t="shared" si="4"/>
        <v>-52882.35876376729</v>
      </c>
      <c r="U35" s="52">
        <f t="shared" si="4"/>
        <v>-37262.453114317992</v>
      </c>
      <c r="V35" s="52">
        <f t="shared" si="4"/>
        <v>-17144.751238890691</v>
      </c>
      <c r="W35" s="52">
        <f t="shared" si="4"/>
        <v>-1589.541288446344</v>
      </c>
      <c r="X35" s="52">
        <f t="shared" si="4"/>
        <v>22462.877060015802</v>
      </c>
      <c r="Y35" s="52">
        <f t="shared" si="4"/>
        <v>105027.19214241643</v>
      </c>
      <c r="Z35" s="52">
        <f t="shared" si="4"/>
        <v>133698.07982811311</v>
      </c>
      <c r="AA35" s="52">
        <f t="shared" si="4"/>
        <v>173525.20302123763</v>
      </c>
      <c r="AB35" s="52">
        <f t="shared" si="4"/>
        <v>217293.21114208712</v>
      </c>
      <c r="AC35" s="52">
        <f t="shared" si="4"/>
        <v>327576.73958777066</v>
      </c>
      <c r="AD35" s="52">
        <f t="shared" si="4"/>
        <v>379910.40917128144</v>
      </c>
      <c r="AE35" s="52">
        <f t="shared" si="4"/>
        <v>447903.82553813269</v>
      </c>
      <c r="AF35" s="52">
        <f t="shared" si="4"/>
        <v>519281.57855965802</v>
      </c>
      <c r="AG35" s="52">
        <f t="shared" si="4"/>
        <v>653178.24170204438</v>
      </c>
      <c r="AH35" s="52">
        <f t="shared" si="4"/>
        <v>737573.37137012603</v>
      </c>
      <c r="AI35" s="52">
        <f t="shared" si="4"/>
        <v>845576.5062249311</v>
      </c>
      <c r="AJ35" s="52">
        <f t="shared" si="4"/>
        <v>1027992.1664739284</v>
      </c>
      <c r="AK35" s="52">
        <f t="shared" si="4"/>
        <v>1160354.8531328854</v>
      </c>
      <c r="AL35" s="67">
        <f t="shared" si="4"/>
        <v>1316274.0472582011</v>
      </c>
    </row>
    <row r="36" spans="2:38" x14ac:dyDescent="0.2">
      <c r="B36" s="44"/>
      <c r="AL36" s="69"/>
    </row>
    <row r="37" spans="2:38" x14ac:dyDescent="0.2">
      <c r="B37" s="42" t="s">
        <v>160</v>
      </c>
      <c r="C37" s="13">
        <f>MAX(C35*Assumptions!$I$33,0)</f>
        <v>0</v>
      </c>
      <c r="D37" s="13">
        <f>MAX(D35*Assumptions!$I$33,0)</f>
        <v>0</v>
      </c>
      <c r="E37" s="13">
        <f>MAX(E35*Assumptions!$I$33,0)</f>
        <v>0</v>
      </c>
      <c r="F37" s="13">
        <f>MAX(F35*Assumptions!$I$33,0)</f>
        <v>0</v>
      </c>
      <c r="G37" s="13">
        <f>MAX(G35*Assumptions!$I$33,0)</f>
        <v>0</v>
      </c>
      <c r="H37" s="13">
        <f>MAX(H35*Assumptions!$I$33,0)</f>
        <v>0</v>
      </c>
      <c r="I37" s="13">
        <f>MAX(I35*Assumptions!$I$33,0)</f>
        <v>0</v>
      </c>
      <c r="J37" s="13">
        <f>MAX(J35*Assumptions!$I$33,0)</f>
        <v>0</v>
      </c>
      <c r="K37" s="13">
        <f>MAX(K35*Assumptions!$I$33,0)</f>
        <v>0</v>
      </c>
      <c r="L37" s="13">
        <f>MAX(L35*Assumptions!$I$33,0)</f>
        <v>0</v>
      </c>
      <c r="M37" s="13">
        <f>MAX(M35*Assumptions!$I$33,0)</f>
        <v>0</v>
      </c>
      <c r="N37" s="13">
        <f>MAX(N35*Assumptions!$I$33,0)</f>
        <v>0</v>
      </c>
      <c r="O37" s="13">
        <f>MAX(O35*Assumptions!$I$33,0)</f>
        <v>0</v>
      </c>
      <c r="P37" s="13">
        <f>MAX(P35*Assumptions!$I$33,0)</f>
        <v>0</v>
      </c>
      <c r="Q37" s="13">
        <f>MAX(Q35*Assumptions!$I$33,0)</f>
        <v>0</v>
      </c>
      <c r="R37" s="13">
        <f>MAX(R35*Assumptions!$I$33,0)</f>
        <v>0</v>
      </c>
      <c r="S37" s="13">
        <f>MAX(S35*Assumptions!$I$33,0)</f>
        <v>0</v>
      </c>
      <c r="T37" s="13">
        <f>MAX(T35*Assumptions!$I$33,0)</f>
        <v>0</v>
      </c>
      <c r="U37" s="13">
        <f>MAX(U35*Assumptions!$I$33,0)</f>
        <v>0</v>
      </c>
      <c r="V37" s="13">
        <f>MAX(V35*Assumptions!$I$33,0)</f>
        <v>0</v>
      </c>
      <c r="W37" s="13">
        <f>MAX(W35*Assumptions!$I$33,0)</f>
        <v>0</v>
      </c>
      <c r="X37" s="13">
        <f>MAX(X35*Assumptions!$I$33,0)</f>
        <v>6738.8631180047405</v>
      </c>
      <c r="Y37" s="13">
        <f>MAX(Y35*Assumptions!$I$33,0)</f>
        <v>31508.157642724927</v>
      </c>
      <c r="Z37" s="13">
        <f>MAX(Z35*Assumptions!$I$33,0)</f>
        <v>40109.423948433934</v>
      </c>
      <c r="AA37" s="13">
        <f>MAX(AA35*Assumptions!$I$33,0)</f>
        <v>52057.560906371284</v>
      </c>
      <c r="AB37" s="13">
        <f>MAX(AB35*Assumptions!$I$33,0)</f>
        <v>65187.963342626135</v>
      </c>
      <c r="AC37" s="13">
        <f>MAX(AC35*Assumptions!$I$33,0)</f>
        <v>98273.0218763312</v>
      </c>
      <c r="AD37" s="13">
        <f>MAX(AD35*Assumptions!$I$33,0)</f>
        <v>113973.12275138444</v>
      </c>
      <c r="AE37" s="13">
        <f>MAX(AE35*Assumptions!$I$33,0)</f>
        <v>134371.14766143981</v>
      </c>
      <c r="AF37" s="13">
        <f>MAX(AF35*Assumptions!$I$33,0)</f>
        <v>155784.4735678974</v>
      </c>
      <c r="AG37" s="13">
        <f>MAX(AG35*Assumptions!$I$33,0)</f>
        <v>195953.4725106133</v>
      </c>
      <c r="AH37" s="13">
        <f>MAX(AH35*Assumptions!$I$33,0)</f>
        <v>221272.01141103779</v>
      </c>
      <c r="AI37" s="13">
        <f>MAX(AI35*Assumptions!$I$33,0)</f>
        <v>253672.95186747931</v>
      </c>
      <c r="AJ37" s="13">
        <f>MAX(AJ35*Assumptions!$I$33,0)</f>
        <v>308397.64994217851</v>
      </c>
      <c r="AK37" s="13">
        <f>MAX(AK35*Assumptions!$I$33,0)</f>
        <v>348106.45593986561</v>
      </c>
      <c r="AL37" s="68">
        <f>MAX(AL35*Assumptions!$I$33,0)</f>
        <v>394882.21417746029</v>
      </c>
    </row>
    <row r="38" spans="2:38" x14ac:dyDescent="0.2">
      <c r="B38" s="44"/>
      <c r="AL38" s="69"/>
    </row>
    <row r="39" spans="2:38" x14ac:dyDescent="0.2">
      <c r="B39" s="42" t="s">
        <v>164</v>
      </c>
      <c r="C39" s="52">
        <f>C35-C37</f>
        <v>-207500</v>
      </c>
      <c r="D39" s="52">
        <f t="shared" ref="D39:AL39" si="5">D35-D37</f>
        <v>-207500</v>
      </c>
      <c r="E39" s="52">
        <f t="shared" si="5"/>
        <v>-210000</v>
      </c>
      <c r="F39" s="52">
        <f t="shared" si="5"/>
        <v>-214100</v>
      </c>
      <c r="G39" s="52">
        <f t="shared" si="5"/>
        <v>-214204</v>
      </c>
      <c r="H39" s="52">
        <f t="shared" si="5"/>
        <v>-214312.16</v>
      </c>
      <c r="I39" s="52">
        <f t="shared" si="5"/>
        <v>-214424.6464</v>
      </c>
      <c r="J39" s="52">
        <f t="shared" si="5"/>
        <v>-214541.63225600001</v>
      </c>
      <c r="K39" s="52">
        <f t="shared" si="5"/>
        <v>-214663.29754624001</v>
      </c>
      <c r="L39" s="52">
        <f t="shared" si="5"/>
        <v>-214789.82944808961</v>
      </c>
      <c r="M39" s="52">
        <f t="shared" si="5"/>
        <v>-147346.4226260132</v>
      </c>
      <c r="N39" s="52">
        <f t="shared" si="5"/>
        <v>-151303.2795310537</v>
      </c>
      <c r="O39" s="52">
        <f t="shared" si="5"/>
        <v>-147495.61071229586</v>
      </c>
      <c r="P39" s="52">
        <f t="shared" si="5"/>
        <v>-143693.63514078769</v>
      </c>
      <c r="Q39" s="52">
        <f t="shared" si="5"/>
        <v>-139897.58054641919</v>
      </c>
      <c r="R39" s="52">
        <f t="shared" si="5"/>
        <v>-131602.68376827598</v>
      </c>
      <c r="S39" s="52">
        <f t="shared" si="5"/>
        <v>-61294.19111900701</v>
      </c>
      <c r="T39" s="52">
        <f t="shared" si="5"/>
        <v>-52882.35876376729</v>
      </c>
      <c r="U39" s="52">
        <f t="shared" si="5"/>
        <v>-37262.453114317992</v>
      </c>
      <c r="V39" s="52">
        <f t="shared" si="5"/>
        <v>-17144.751238890691</v>
      </c>
      <c r="W39" s="52">
        <f t="shared" si="5"/>
        <v>-1589.541288446344</v>
      </c>
      <c r="X39" s="52">
        <f t="shared" si="5"/>
        <v>15724.013942011061</v>
      </c>
      <c r="Y39" s="52">
        <f t="shared" si="5"/>
        <v>73519.034499691508</v>
      </c>
      <c r="Z39" s="52">
        <f t="shared" si="5"/>
        <v>93588.65587967918</v>
      </c>
      <c r="AA39" s="52">
        <f t="shared" si="5"/>
        <v>121467.64211486635</v>
      </c>
      <c r="AB39" s="52">
        <f t="shared" si="5"/>
        <v>152105.24779946098</v>
      </c>
      <c r="AC39" s="52">
        <f t="shared" si="5"/>
        <v>229303.71771143947</v>
      </c>
      <c r="AD39" s="52">
        <f t="shared" si="5"/>
        <v>265937.28641989699</v>
      </c>
      <c r="AE39" s="52">
        <f t="shared" si="5"/>
        <v>313532.67787669285</v>
      </c>
      <c r="AF39" s="52">
        <f t="shared" si="5"/>
        <v>363497.10499176063</v>
      </c>
      <c r="AG39" s="52">
        <f t="shared" si="5"/>
        <v>457224.76919143111</v>
      </c>
      <c r="AH39" s="52">
        <f t="shared" si="5"/>
        <v>516301.35995908827</v>
      </c>
      <c r="AI39" s="52">
        <f t="shared" si="5"/>
        <v>591903.55435745185</v>
      </c>
      <c r="AJ39" s="52">
        <f t="shared" si="5"/>
        <v>719594.51653174986</v>
      </c>
      <c r="AK39" s="52">
        <f t="shared" si="5"/>
        <v>812248.39719301974</v>
      </c>
      <c r="AL39" s="67">
        <f t="shared" si="5"/>
        <v>921391.83308074076</v>
      </c>
    </row>
    <row r="40" spans="2:38" x14ac:dyDescent="0.2">
      <c r="B40" s="44"/>
      <c r="AL40" s="69"/>
    </row>
    <row r="41" spans="2:38" x14ac:dyDescent="0.2">
      <c r="B41" s="42" t="s">
        <v>197</v>
      </c>
      <c r="C41" s="62">
        <f>IFERROR(C39/C9,0)</f>
        <v>0</v>
      </c>
      <c r="D41" s="62">
        <f t="shared" ref="D41:AL41" si="6">IFERROR(D39/D9,0)</f>
        <v>0</v>
      </c>
      <c r="E41" s="62">
        <f t="shared" si="6"/>
        <v>0</v>
      </c>
      <c r="F41" s="62">
        <f t="shared" si="6"/>
        <v>0</v>
      </c>
      <c r="G41" s="62">
        <f t="shared" si="6"/>
        <v>0</v>
      </c>
      <c r="H41" s="62">
        <f t="shared" si="6"/>
        <v>0</v>
      </c>
      <c r="I41" s="62">
        <f t="shared" si="6"/>
        <v>0</v>
      </c>
      <c r="J41" s="62">
        <f t="shared" si="6"/>
        <v>0</v>
      </c>
      <c r="K41" s="62">
        <f t="shared" si="6"/>
        <v>0</v>
      </c>
      <c r="L41" s="62">
        <f t="shared" si="6"/>
        <v>0</v>
      </c>
      <c r="M41" s="62">
        <f t="shared" si="6"/>
        <v>-1.8024027232539841</v>
      </c>
      <c r="N41" s="62">
        <f t="shared" si="6"/>
        <v>-2.0956132899037909</v>
      </c>
      <c r="O41" s="62">
        <f t="shared" si="6"/>
        <v>-1.9242741123587197</v>
      </c>
      <c r="P41" s="62">
        <f t="shared" si="6"/>
        <v>-1.7718080781848051</v>
      </c>
      <c r="Q41" s="62">
        <f t="shared" si="6"/>
        <v>-1.6352727124070041</v>
      </c>
      <c r="R41" s="62">
        <f t="shared" si="6"/>
        <v>-1.3787604375932527</v>
      </c>
      <c r="S41" s="62">
        <f t="shared" si="6"/>
        <v>-0.32936158580874264</v>
      </c>
      <c r="T41" s="62">
        <f t="shared" si="6"/>
        <v>-0.27701602285891719</v>
      </c>
      <c r="U41" s="62">
        <f t="shared" si="6"/>
        <v>-0.17854553480746521</v>
      </c>
      <c r="V41" s="62">
        <f t="shared" si="6"/>
        <v>-7.3915719934859625E-2</v>
      </c>
      <c r="W41" s="62">
        <f t="shared" si="6"/>
        <v>-6.25311285777476E-3</v>
      </c>
      <c r="X41" s="62">
        <f t="shared" si="6"/>
        <v>5.5778694366835975E-2</v>
      </c>
      <c r="Y41" s="62">
        <f t="shared" si="6"/>
        <v>0.18834132060891895</v>
      </c>
      <c r="Z41" s="62">
        <f t="shared" si="6"/>
        <v>0.22368225592657548</v>
      </c>
      <c r="AA41" s="62">
        <f t="shared" si="6"/>
        <v>0.26184014251965154</v>
      </c>
      <c r="AB41" s="62">
        <f t="shared" si="6"/>
        <v>0.29601099114422685</v>
      </c>
      <c r="AC41" s="62">
        <f t="shared" si="6"/>
        <v>0.35277495032529149</v>
      </c>
      <c r="AD41" s="62">
        <f t="shared" si="6"/>
        <v>0.37734982109953458</v>
      </c>
      <c r="AE41" s="62">
        <f t="shared" si="6"/>
        <v>0.4007319502513968</v>
      </c>
      <c r="AF41" s="62">
        <f t="shared" si="6"/>
        <v>0.4209578517565265</v>
      </c>
      <c r="AG41" s="62">
        <f t="shared" si="6"/>
        <v>0.44123017533551856</v>
      </c>
      <c r="AH41" s="62">
        <f t="shared" si="6"/>
        <v>0.45607646301761251</v>
      </c>
      <c r="AI41" s="62">
        <f t="shared" si="6"/>
        <v>0.47156114910568186</v>
      </c>
      <c r="AJ41" s="62">
        <f t="shared" si="6"/>
        <v>0.48837389564067313</v>
      </c>
      <c r="AK41" s="62">
        <f t="shared" si="6"/>
        <v>0.50163562079608437</v>
      </c>
      <c r="AL41" s="70">
        <f t="shared" si="6"/>
        <v>0.5128102591238296</v>
      </c>
    </row>
    <row r="42" spans="2:38" x14ac:dyDescent="0.2">
      <c r="B42" s="42" t="s">
        <v>200</v>
      </c>
      <c r="C42" s="13">
        <f>'Sales and Customer Acquisition '!C24</f>
        <v>0</v>
      </c>
      <c r="D42" s="13">
        <f>'Sales and Customer Acquisition '!D24</f>
        <v>0</v>
      </c>
      <c r="E42" s="13">
        <f>'Sales and Customer Acquisition '!E24</f>
        <v>0</v>
      </c>
      <c r="F42" s="13">
        <f>'Sales and Customer Acquisition '!F24</f>
        <v>0</v>
      </c>
      <c r="G42" s="13">
        <f>'Sales and Customer Acquisition '!G24</f>
        <v>0</v>
      </c>
      <c r="H42" s="13">
        <f>'Sales and Customer Acquisition '!H24</f>
        <v>0</v>
      </c>
      <c r="I42" s="13">
        <f>'Sales and Customer Acquisition '!I24</f>
        <v>0</v>
      </c>
      <c r="J42" s="13">
        <f>'Sales and Customer Acquisition '!J24</f>
        <v>0</v>
      </c>
      <c r="K42" s="13">
        <f>'Sales and Customer Acquisition '!K24</f>
        <v>0</v>
      </c>
      <c r="L42" s="13">
        <f>'Sales and Customer Acquisition '!L24</f>
        <v>0</v>
      </c>
      <c r="M42" s="13">
        <f>'Sales and Customer Acquisition '!M24</f>
        <v>0</v>
      </c>
      <c r="N42" s="13">
        <f>'Sales and Customer Acquisition '!N24</f>
        <v>66750</v>
      </c>
      <c r="O42" s="13">
        <f>'Sales and Customer Acquisition '!O24</f>
        <v>71200</v>
      </c>
      <c r="P42" s="13">
        <f>'Sales and Customer Acquisition '!P24</f>
        <v>75650</v>
      </c>
      <c r="Q42" s="13">
        <f>'Sales and Customer Acquisition '!Q24</f>
        <v>80100</v>
      </c>
      <c r="R42" s="13">
        <f>'Sales and Customer Acquisition '!R24</f>
        <v>84550</v>
      </c>
      <c r="S42" s="13">
        <f>'Sales and Customer Acquisition '!S24</f>
        <v>93450</v>
      </c>
      <c r="T42" s="13">
        <f>'Sales and Customer Acquisition '!T24</f>
        <v>169100</v>
      </c>
      <c r="U42" s="13">
        <f>'Sales and Customer Acquisition '!U24</f>
        <v>186900</v>
      </c>
      <c r="V42" s="13">
        <f>'Sales and Customer Acquisition '!V24</f>
        <v>204700</v>
      </c>
      <c r="W42" s="13">
        <f>'Sales and Customer Acquisition '!W24</f>
        <v>226950</v>
      </c>
      <c r="X42" s="13">
        <f>'Sales and Customer Acquisition '!X24</f>
        <v>249200</v>
      </c>
      <c r="Y42" s="13">
        <f>'Sales and Customer Acquisition '!Y24</f>
        <v>275900</v>
      </c>
      <c r="Z42" s="13">
        <f>'Sales and Customer Acquisition '!Z24</f>
        <v>369350</v>
      </c>
      <c r="AA42" s="13">
        <f>'Sales and Customer Acquisition '!AA24</f>
        <v>409400</v>
      </c>
      <c r="AB42" s="13">
        <f>'Sales and Customer Acquisition '!AB24</f>
        <v>453900</v>
      </c>
      <c r="AC42" s="13">
        <f>'Sales and Customer Acquisition '!AC24</f>
        <v>502850</v>
      </c>
      <c r="AD42" s="13">
        <f>'Sales and Customer Acquisition '!AD24</f>
        <v>623000</v>
      </c>
      <c r="AE42" s="13">
        <f>'Sales and Customer Acquisition '!AE24</f>
        <v>689750</v>
      </c>
      <c r="AF42" s="13">
        <f>'Sales and Customer Acquisition '!AF24</f>
        <v>765400</v>
      </c>
      <c r="AG42" s="13">
        <f>'Sales and Customer Acquisition '!AG24</f>
        <v>845500</v>
      </c>
      <c r="AH42" s="13">
        <f>'Sales and Customer Acquisition '!AH24</f>
        <v>1001250</v>
      </c>
      <c r="AI42" s="13">
        <f>'Sales and Customer Acquisition '!AI24</f>
        <v>1108050</v>
      </c>
      <c r="AJ42" s="13">
        <f>'Sales and Customer Acquisition '!AJ24</f>
        <v>1228200</v>
      </c>
      <c r="AK42" s="13">
        <f>'Sales and Customer Acquisition '!AK24</f>
        <v>1428450</v>
      </c>
      <c r="AL42" s="68">
        <f>'Sales and Customer Acquisition '!AL24</f>
        <v>1584200</v>
      </c>
    </row>
    <row r="43" spans="2:38" x14ac:dyDescent="0.2">
      <c r="B43" s="48" t="s">
        <v>199</v>
      </c>
      <c r="C43" s="13">
        <f>Assumptions!$I$11*'Sales and Customer Acquisition '!C15</f>
        <v>0</v>
      </c>
      <c r="D43" s="13">
        <f>Assumptions!$I$11*'Sales and Customer Acquisition '!D15</f>
        <v>0</v>
      </c>
      <c r="E43" s="13">
        <f>Assumptions!$I$11*'Sales and Customer Acquisition '!E15</f>
        <v>0</v>
      </c>
      <c r="F43" s="13">
        <f>Assumptions!$I$11*'Sales and Customer Acquisition '!F15</f>
        <v>0</v>
      </c>
      <c r="G43" s="13">
        <f>Assumptions!$I$11*'Sales and Customer Acquisition '!G15</f>
        <v>0</v>
      </c>
      <c r="H43" s="13">
        <f>Assumptions!$I$11*'Sales and Customer Acquisition '!H15</f>
        <v>0</v>
      </c>
      <c r="I43" s="13">
        <f>Assumptions!$I$11*'Sales and Customer Acquisition '!I15</f>
        <v>0</v>
      </c>
      <c r="J43" s="13">
        <f>Assumptions!$I$11*'Sales and Customer Acquisition '!J15</f>
        <v>0</v>
      </c>
      <c r="K43" s="13">
        <f>Assumptions!$I$11*'Sales and Customer Acquisition '!K15</f>
        <v>0</v>
      </c>
      <c r="L43" s="13">
        <f>Assumptions!$I$11*'Sales and Customer Acquisition '!L15</f>
        <v>0</v>
      </c>
      <c r="M43" s="13">
        <f>Assumptions!$I$11*'Sales and Customer Acquisition '!M15</f>
        <v>66750</v>
      </c>
      <c r="N43" s="13">
        <f>Assumptions!$I$11*'Sales and Customer Acquisition '!N15</f>
        <v>4450</v>
      </c>
      <c r="O43" s="13">
        <f>Assumptions!$I$11*'Sales and Customer Acquisition '!O15</f>
        <v>4450</v>
      </c>
      <c r="P43" s="13">
        <f>Assumptions!$I$11*'Sales and Customer Acquisition '!P15</f>
        <v>4450</v>
      </c>
      <c r="Q43" s="13">
        <f>Assumptions!$I$11*'Sales and Customer Acquisition '!Q15</f>
        <v>4450</v>
      </c>
      <c r="R43" s="13">
        <f>Assumptions!$I$11*'Sales and Customer Acquisition '!R15</f>
        <v>8900</v>
      </c>
      <c r="S43" s="13">
        <f>Assumptions!$I$11*'Sales and Customer Acquisition '!S15</f>
        <v>75650</v>
      </c>
      <c r="T43" s="13">
        <f>Assumptions!$I$11*'Sales and Customer Acquisition '!T15</f>
        <v>17800</v>
      </c>
      <c r="U43" s="13">
        <f>Assumptions!$I$11*'Sales and Customer Acquisition '!U15</f>
        <v>17800</v>
      </c>
      <c r="V43" s="13">
        <f>Assumptions!$I$11*'Sales and Customer Acquisition '!V15</f>
        <v>22250</v>
      </c>
      <c r="W43" s="13">
        <f>Assumptions!$I$11*'Sales and Customer Acquisition '!W15</f>
        <v>22250</v>
      </c>
      <c r="X43" s="13">
        <f>Assumptions!$I$11*'Sales and Customer Acquisition '!X15</f>
        <v>26700</v>
      </c>
      <c r="Y43" s="13">
        <f>Assumptions!$I$11*'Sales and Customer Acquisition '!Y15</f>
        <v>93450</v>
      </c>
      <c r="Z43" s="13">
        <f>Assumptions!$I$11*'Sales and Customer Acquisition '!Z15</f>
        <v>40050</v>
      </c>
      <c r="AA43" s="13">
        <f>Assumptions!$I$11*'Sales and Customer Acquisition '!AA15</f>
        <v>44500</v>
      </c>
      <c r="AB43" s="13">
        <f>Assumptions!$I$11*'Sales and Customer Acquisition '!AB15</f>
        <v>48950</v>
      </c>
      <c r="AC43" s="13">
        <f>Assumptions!$I$11*'Sales and Customer Acquisition '!AC15</f>
        <v>120150</v>
      </c>
      <c r="AD43" s="13">
        <f>Assumptions!$I$11*'Sales and Customer Acquisition '!AD15</f>
        <v>66750</v>
      </c>
      <c r="AE43" s="13">
        <f>Assumptions!$I$11*'Sales and Customer Acquisition '!AE15</f>
        <v>75650</v>
      </c>
      <c r="AF43" s="13">
        <f>Assumptions!$I$11*'Sales and Customer Acquisition '!AF15</f>
        <v>80100</v>
      </c>
      <c r="AG43" s="13">
        <f>Assumptions!$I$11*'Sales and Customer Acquisition '!AG15</f>
        <v>155750</v>
      </c>
      <c r="AH43" s="13">
        <f>Assumptions!$I$11*'Sales and Customer Acquisition '!AH15</f>
        <v>106800</v>
      </c>
      <c r="AI43" s="13">
        <f>Assumptions!$I$11*'Sales and Customer Acquisition '!AI15</f>
        <v>120150</v>
      </c>
      <c r="AJ43" s="13">
        <f>Assumptions!$I$11*'Sales and Customer Acquisition '!AJ15</f>
        <v>200250</v>
      </c>
      <c r="AK43" s="13">
        <f>Assumptions!$I$11*'Sales and Customer Acquisition '!AK15</f>
        <v>155750</v>
      </c>
      <c r="AL43" s="68">
        <f>Assumptions!$I$11*'Sales and Customer Acquisition '!AL15</f>
        <v>173550</v>
      </c>
    </row>
    <row r="44" spans="2:38" x14ac:dyDescent="0.2">
      <c r="B44" s="48" t="s">
        <v>201</v>
      </c>
      <c r="C44" s="13">
        <f>Assumptions!$I$11*'Sales and Customer Acquisition '!C17</f>
        <v>0</v>
      </c>
      <c r="D44" s="13">
        <f>Assumptions!$I$11*'Sales and Customer Acquisition '!D17</f>
        <v>0</v>
      </c>
      <c r="E44" s="13">
        <f>Assumptions!$I$11*'Sales and Customer Acquisition '!E17</f>
        <v>0</v>
      </c>
      <c r="F44" s="13">
        <f>Assumptions!$I$11*'Sales and Customer Acquisition '!F17</f>
        <v>0</v>
      </c>
      <c r="G44" s="13">
        <f>Assumptions!$I$11*'Sales and Customer Acquisition '!G17</f>
        <v>0</v>
      </c>
      <c r="H44" s="13">
        <f>Assumptions!$I$11*'Sales and Customer Acquisition '!H17</f>
        <v>0</v>
      </c>
      <c r="I44" s="13">
        <f>Assumptions!$I$11*'Sales and Customer Acquisition '!I17</f>
        <v>0</v>
      </c>
      <c r="J44" s="13">
        <f>Assumptions!$I$11*'Sales and Customer Acquisition '!J17</f>
        <v>0</v>
      </c>
      <c r="K44" s="13">
        <f>Assumptions!$I$11*'Sales and Customer Acquisition '!K17</f>
        <v>0</v>
      </c>
      <c r="L44" s="13">
        <f>Assumptions!$I$11*'Sales and Customer Acquisition '!L17</f>
        <v>0</v>
      </c>
      <c r="M44" s="13">
        <f>Assumptions!$I$11*'Sales and Customer Acquisition '!M17</f>
        <v>0</v>
      </c>
      <c r="N44" s="13">
        <f>Assumptions!$I$11*'Sales and Customer Acquisition '!N17</f>
        <v>4450</v>
      </c>
      <c r="O44" s="13">
        <f>Assumptions!$I$11*'Sales and Customer Acquisition '!O17</f>
        <v>4450</v>
      </c>
      <c r="P44" s="13">
        <f>Assumptions!$I$11*'Sales and Customer Acquisition '!P17</f>
        <v>4450</v>
      </c>
      <c r="Q44" s="13">
        <f>Assumptions!$I$11*'Sales and Customer Acquisition '!Q17</f>
        <v>4450</v>
      </c>
      <c r="R44" s="13">
        <f>Assumptions!$I$11*'Sales and Customer Acquisition '!R17</f>
        <v>8900</v>
      </c>
      <c r="S44" s="13">
        <f>Assumptions!$I$11*'Sales and Customer Acquisition '!S17</f>
        <v>8900</v>
      </c>
      <c r="T44" s="13">
        <f>Assumptions!$I$11*'Sales and Customer Acquisition '!T17</f>
        <v>17800</v>
      </c>
      <c r="U44" s="13">
        <f>Assumptions!$I$11*'Sales and Customer Acquisition '!U17</f>
        <v>17800</v>
      </c>
      <c r="V44" s="13">
        <f>Assumptions!$I$11*'Sales and Customer Acquisition '!V17</f>
        <v>22250</v>
      </c>
      <c r="W44" s="13">
        <f>Assumptions!$I$11*'Sales and Customer Acquisition '!W17</f>
        <v>22250</v>
      </c>
      <c r="X44" s="13">
        <f>Assumptions!$I$11*'Sales and Customer Acquisition '!X17</f>
        <v>26700</v>
      </c>
      <c r="Y44" s="13">
        <f>Assumptions!$I$11*'Sales and Customer Acquisition '!Y17</f>
        <v>26700</v>
      </c>
      <c r="Z44" s="13">
        <f>Assumptions!$I$11*'Sales and Customer Acquisition '!Z17</f>
        <v>40050</v>
      </c>
      <c r="AA44" s="13">
        <f>Assumptions!$I$11*'Sales and Customer Acquisition '!AA17</f>
        <v>44500</v>
      </c>
      <c r="AB44" s="13">
        <f>Assumptions!$I$11*'Sales and Customer Acquisition '!AB17</f>
        <v>48950</v>
      </c>
      <c r="AC44" s="13">
        <f>Assumptions!$I$11*'Sales and Customer Acquisition '!AC17</f>
        <v>53400</v>
      </c>
      <c r="AD44" s="13">
        <f>Assumptions!$I$11*'Sales and Customer Acquisition '!AD17</f>
        <v>66750</v>
      </c>
      <c r="AE44" s="13">
        <f>Assumptions!$I$11*'Sales and Customer Acquisition '!AE17</f>
        <v>75650</v>
      </c>
      <c r="AF44" s="13">
        <f>Assumptions!$I$11*'Sales and Customer Acquisition '!AF17</f>
        <v>80100</v>
      </c>
      <c r="AG44" s="13">
        <f>Assumptions!$I$11*'Sales and Customer Acquisition '!AG17</f>
        <v>89000</v>
      </c>
      <c r="AH44" s="13">
        <f>Assumptions!$I$11*'Sales and Customer Acquisition '!AH17</f>
        <v>106800</v>
      </c>
      <c r="AI44" s="13">
        <f>Assumptions!$I$11*'Sales and Customer Acquisition '!AI17</f>
        <v>120150</v>
      </c>
      <c r="AJ44" s="13">
        <f>Assumptions!$I$11*'Sales and Customer Acquisition '!AJ17</f>
        <v>133500</v>
      </c>
      <c r="AK44" s="13">
        <f>Assumptions!$I$11*'Sales and Customer Acquisition '!AK17</f>
        <v>155750</v>
      </c>
      <c r="AL44" s="68">
        <f>Assumptions!$I$11*'Sales and Customer Acquisition '!AL17</f>
        <v>173550</v>
      </c>
    </row>
    <row r="45" spans="2:38" ht="16" thickBot="1" x14ac:dyDescent="0.25">
      <c r="B45" s="42" t="s">
        <v>198</v>
      </c>
      <c r="C45" s="13">
        <f t="shared" ref="C45:AL45" si="7">IFERROR((C33+C28)/C6,0)</f>
        <v>0</v>
      </c>
      <c r="D45" s="13">
        <f t="shared" si="7"/>
        <v>0</v>
      </c>
      <c r="E45" s="13">
        <f t="shared" si="7"/>
        <v>0</v>
      </c>
      <c r="F45" s="13">
        <f t="shared" si="7"/>
        <v>0</v>
      </c>
      <c r="G45" s="13">
        <f t="shared" si="7"/>
        <v>0</v>
      </c>
      <c r="H45" s="13">
        <f t="shared" si="7"/>
        <v>0</v>
      </c>
      <c r="I45" s="13">
        <f t="shared" si="7"/>
        <v>0</v>
      </c>
      <c r="J45" s="13">
        <f t="shared" si="7"/>
        <v>0</v>
      </c>
      <c r="K45" s="13">
        <f t="shared" si="7"/>
        <v>0</v>
      </c>
      <c r="L45" s="13">
        <f t="shared" si="7"/>
        <v>0</v>
      </c>
      <c r="M45" s="13">
        <f t="shared" si="7"/>
        <v>1206.4281750675459</v>
      </c>
      <c r="N45" s="13">
        <f t="shared" si="7"/>
        <v>750.20497069085707</v>
      </c>
      <c r="O45" s="13">
        <f t="shared" si="7"/>
        <v>714.4476889585801</v>
      </c>
      <c r="P45" s="13">
        <f t="shared" si="7"/>
        <v>682.97973004376092</v>
      </c>
      <c r="Q45" s="13">
        <f t="shared" si="7"/>
        <v>655.13581823258971</v>
      </c>
      <c r="R45" s="13">
        <f t="shared" si="7"/>
        <v>621.55636991790345</v>
      </c>
      <c r="S45" s="13">
        <f t="shared" si="7"/>
        <v>523.5313452370267</v>
      </c>
      <c r="T45" s="13">
        <f t="shared" si="7"/>
        <v>340.05616104207843</v>
      </c>
      <c r="U45" s="13">
        <f t="shared" si="7"/>
        <v>314.40115465908661</v>
      </c>
      <c r="V45" s="13">
        <f t="shared" si="7"/>
        <v>295.97551448805302</v>
      </c>
      <c r="W45" s="13">
        <f t="shared" si="7"/>
        <v>344.45609443654166</v>
      </c>
      <c r="X45" s="13">
        <f t="shared" si="7"/>
        <v>321.56649903200304</v>
      </c>
      <c r="Y45" s="13">
        <f t="shared" si="7"/>
        <v>323.16635972992231</v>
      </c>
      <c r="Z45" s="13">
        <f t="shared" si="7"/>
        <v>235.89043665094454</v>
      </c>
      <c r="AA45" s="13">
        <f t="shared" si="7"/>
        <v>219.36075469374876</v>
      </c>
      <c r="AB45" s="13">
        <f t="shared" si="7"/>
        <v>204.04237927356519</v>
      </c>
      <c r="AC45" s="13">
        <f t="shared" si="7"/>
        <v>217.30900294449557</v>
      </c>
      <c r="AD45" s="13">
        <f t="shared" si="7"/>
        <v>163.48123115302297</v>
      </c>
      <c r="AE45" s="13">
        <f t="shared" si="7"/>
        <v>154.04752594108896</v>
      </c>
      <c r="AF45" s="13">
        <f t="shared" si="7"/>
        <v>143.25484968601049</v>
      </c>
      <c r="AG45" s="13">
        <f t="shared" si="7"/>
        <v>155.87448132424745</v>
      </c>
      <c r="AH45" s="13">
        <f t="shared" si="7"/>
        <v>138.46035594326867</v>
      </c>
      <c r="AI45" s="13">
        <f t="shared" si="7"/>
        <v>130.88222382271323</v>
      </c>
      <c r="AJ45" s="13">
        <f t="shared" si="7"/>
        <v>138.49792375723243</v>
      </c>
      <c r="AK45" s="13">
        <f t="shared" si="7"/>
        <v>113.32906423346763</v>
      </c>
      <c r="AL45" s="71">
        <f t="shared" si="7"/>
        <v>107.53405757417484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0E73-FAD6-46BE-881B-B075AA9EF4DB}">
  <dimension ref="B1:AL25"/>
  <sheetViews>
    <sheetView zoomScale="85" workbookViewId="0">
      <pane xSplit="2" topLeftCell="C1" activePane="topRight" state="frozen"/>
      <selection pane="topRight" activeCell="A26" sqref="A26:XFD27"/>
    </sheetView>
  </sheetViews>
  <sheetFormatPr baseColWidth="10" defaultColWidth="8.83203125" defaultRowHeight="15" x14ac:dyDescent="0.2"/>
  <cols>
    <col min="2" max="2" width="27" customWidth="1"/>
    <col min="3" max="3" width="9" bestFit="1" customWidth="1"/>
    <col min="4" max="4" width="7.6640625" bestFit="1" customWidth="1"/>
    <col min="5" max="12" width="9.33203125" bestFit="1" customWidth="1"/>
    <col min="13" max="13" width="10.5" bestFit="1" customWidth="1"/>
    <col min="14" max="19" width="11.83203125" bestFit="1" customWidth="1"/>
    <col min="20" max="32" width="12.6640625" bestFit="1" customWidth="1"/>
    <col min="33" max="34" width="12.83203125" bestFit="1" customWidth="1"/>
    <col min="35" max="38" width="14.1640625" bestFit="1" customWidth="1"/>
  </cols>
  <sheetData>
    <row r="1" spans="2:38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38" x14ac:dyDescent="0.2">
      <c r="B2" s="56"/>
      <c r="C2" s="57" t="s">
        <v>195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2:38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2:38" ht="16" thickBot="1" x14ac:dyDescent="0.25">
      <c r="B4" s="51" t="s">
        <v>193</v>
      </c>
      <c r="C4" s="20" t="s">
        <v>22</v>
      </c>
      <c r="D4" s="20" t="s">
        <v>23</v>
      </c>
      <c r="E4" s="20" t="s">
        <v>24</v>
      </c>
      <c r="F4" s="20" t="s">
        <v>61</v>
      </c>
      <c r="G4" s="20" t="s">
        <v>25</v>
      </c>
      <c r="H4" s="20" t="s">
        <v>26</v>
      </c>
      <c r="I4" s="20" t="s">
        <v>27</v>
      </c>
      <c r="J4" s="20" t="s">
        <v>28</v>
      </c>
      <c r="K4" s="20" t="s">
        <v>29</v>
      </c>
      <c r="L4" s="20" t="s">
        <v>30</v>
      </c>
      <c r="M4" s="20" t="s">
        <v>31</v>
      </c>
      <c r="N4" s="20" t="s">
        <v>32</v>
      </c>
      <c r="O4" s="20" t="s">
        <v>33</v>
      </c>
      <c r="P4" s="20" t="s">
        <v>34</v>
      </c>
      <c r="Q4" s="20" t="s">
        <v>35</v>
      </c>
      <c r="R4" s="20" t="s">
        <v>36</v>
      </c>
      <c r="S4" s="20" t="s">
        <v>37</v>
      </c>
      <c r="T4" s="20" t="s">
        <v>38</v>
      </c>
      <c r="U4" s="20" t="s">
        <v>39</v>
      </c>
      <c r="V4" s="20" t="s">
        <v>40</v>
      </c>
      <c r="W4" s="20" t="s">
        <v>41</v>
      </c>
      <c r="X4" s="20" t="s">
        <v>42</v>
      </c>
      <c r="Y4" s="20" t="s">
        <v>43</v>
      </c>
      <c r="Z4" s="20" t="s">
        <v>44</v>
      </c>
      <c r="AA4" s="20" t="s">
        <v>45</v>
      </c>
      <c r="AB4" s="20" t="s">
        <v>46</v>
      </c>
      <c r="AC4" s="20" t="s">
        <v>47</v>
      </c>
      <c r="AD4" s="20" t="s">
        <v>48</v>
      </c>
      <c r="AE4" s="20" t="s">
        <v>49</v>
      </c>
      <c r="AF4" s="20" t="s">
        <v>50</v>
      </c>
      <c r="AG4" s="20" t="s">
        <v>51</v>
      </c>
      <c r="AH4" s="20" t="s">
        <v>52</v>
      </c>
      <c r="AI4" s="20" t="s">
        <v>53</v>
      </c>
      <c r="AJ4" s="20" t="s">
        <v>54</v>
      </c>
      <c r="AK4" s="20" t="s">
        <v>55</v>
      </c>
      <c r="AL4" s="20" t="s">
        <v>56</v>
      </c>
    </row>
    <row r="5" spans="2:38" x14ac:dyDescent="0.2">
      <c r="B5" s="4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2:38" x14ac:dyDescent="0.2">
      <c r="B6" s="42" t="s">
        <v>62</v>
      </c>
      <c r="C6" s="58">
        <v>0</v>
      </c>
      <c r="D6" s="58">
        <v>0</v>
      </c>
      <c r="E6" s="58">
        <v>5</v>
      </c>
      <c r="F6" s="59">
        <f>E6*(1+Assumptions!$I$6)</f>
        <v>5.2</v>
      </c>
      <c r="G6" s="59">
        <f>F6*(1+Assumptions!$I$6)</f>
        <v>5.4080000000000004</v>
      </c>
      <c r="H6" s="59">
        <f>G6*(1+Assumptions!$I$6)</f>
        <v>5.6243200000000009</v>
      </c>
      <c r="I6" s="59">
        <f>H6*(1+Assumptions!$I$6)</f>
        <v>5.8492928000000015</v>
      </c>
      <c r="J6" s="59">
        <f>I6*(1+Assumptions!$I$6)</f>
        <v>6.0832645120000022</v>
      </c>
      <c r="K6" s="59">
        <f>J6*(1+Assumptions!$I$6)</f>
        <v>6.3265950924800025</v>
      </c>
      <c r="L6" s="59">
        <f>K6*(1+Assumptions!$I$6)</f>
        <v>6.5796588961792031</v>
      </c>
      <c r="M6" s="59">
        <f>L6*(1+Assumptions!$I$6)</f>
        <v>6.8428452520263718</v>
      </c>
      <c r="N6" s="59">
        <f>M6*(1+Assumptions!$I$6)</f>
        <v>7.1165590621074273</v>
      </c>
      <c r="O6" s="59">
        <f>N6*(1+Assumptions!$I$6)</f>
        <v>7.4012214245917249</v>
      </c>
      <c r="P6" s="59">
        <f>O6*(1+Assumptions!$I$6)</f>
        <v>7.6972702815753946</v>
      </c>
      <c r="Q6" s="59">
        <f>P6*(1+Assumptions!$I$6)</f>
        <v>8.00516109283841</v>
      </c>
      <c r="R6" s="59">
        <f>Q6*(1+Assumptions!$I$6)</f>
        <v>8.3253675365519459</v>
      </c>
      <c r="S6" s="59">
        <f>R6*(1+Assumptions!$I$6)</f>
        <v>8.6583822380140241</v>
      </c>
      <c r="T6" s="59">
        <f>S6*(1+Assumptions!$I$6)</f>
        <v>9.0047175275345861</v>
      </c>
      <c r="U6" s="59">
        <f>T6*(1+Assumptions!$I$6)</f>
        <v>9.3649062286359701</v>
      </c>
      <c r="V6" s="59">
        <f>U6*(1+Assumptions!$I$6)</f>
        <v>9.739502477781409</v>
      </c>
      <c r="W6" s="59">
        <f>V6*(1+Assumptions!$I$6)</f>
        <v>10.129082576892666</v>
      </c>
      <c r="X6" s="59">
        <f>W6*(1+Assumptions!$I$6)</f>
        <v>10.534245879968372</v>
      </c>
      <c r="Y6" s="59">
        <f>X6*(1+Assumptions!$I$6)</f>
        <v>10.955615715167108</v>
      </c>
      <c r="Z6" s="59">
        <f>Y6*(1+Assumptions!$I$6)</f>
        <v>11.393840343773793</v>
      </c>
      <c r="AA6" s="59">
        <f>Z6*(1+Assumptions!$I$6)</f>
        <v>11.849593957524744</v>
      </c>
      <c r="AB6" s="59">
        <f>AA6*(1+Assumptions!$I$6)</f>
        <v>12.323577715825735</v>
      </c>
      <c r="AC6" s="59">
        <f>AB6*(1+Assumptions!$I$6)</f>
        <v>12.816520824458765</v>
      </c>
      <c r="AD6" s="59">
        <f>AC6*(1+Assumptions!$I$6)</f>
        <v>13.329181657437116</v>
      </c>
      <c r="AE6" s="59">
        <f>AD6*(1+Assumptions!$I$6)</f>
        <v>13.862348923734602</v>
      </c>
      <c r="AF6" s="59">
        <f>AE6*(1+Assumptions!$I$6)</f>
        <v>14.416842880683987</v>
      </c>
      <c r="AG6" s="59">
        <f>AF6*(1+Assumptions!$I$6)</f>
        <v>14.993516595911347</v>
      </c>
      <c r="AH6" s="59">
        <f>AG6*(1+Assumptions!$I$6)</f>
        <v>15.593257259747801</v>
      </c>
      <c r="AI6" s="59">
        <f>AH6*(1+Assumptions!$I$6)</f>
        <v>16.216987550137713</v>
      </c>
      <c r="AJ6" s="59">
        <f>AI6*(1+Assumptions!$I$6)</f>
        <v>16.865667052143223</v>
      </c>
      <c r="AK6" s="59">
        <f>AJ6*(1+Assumptions!$I$6)</f>
        <v>17.540293734228953</v>
      </c>
      <c r="AL6" s="59">
        <f>AK6*(1+Assumptions!$I$6)</f>
        <v>18.241905483598114</v>
      </c>
    </row>
    <row r="7" spans="2:38" x14ac:dyDescent="0.2">
      <c r="B7" s="42" t="s">
        <v>63</v>
      </c>
      <c r="C7" s="4">
        <f>IFERROR(B7+C6,0)</f>
        <v>0</v>
      </c>
      <c r="D7" s="4">
        <f>IFERROR(C7+D6,0)</f>
        <v>0</v>
      </c>
      <c r="E7" s="4">
        <f t="shared" ref="E7:AL7" si="0">IFERROR(D7+E6,0)</f>
        <v>5</v>
      </c>
      <c r="F7" s="4">
        <f t="shared" si="0"/>
        <v>10.199999999999999</v>
      </c>
      <c r="G7" s="4">
        <f t="shared" si="0"/>
        <v>15.608000000000001</v>
      </c>
      <c r="H7" s="4">
        <f t="shared" si="0"/>
        <v>21.232320000000001</v>
      </c>
      <c r="I7" s="4">
        <f t="shared" si="0"/>
        <v>27.081612800000002</v>
      </c>
      <c r="J7" s="4">
        <f t="shared" si="0"/>
        <v>33.164877312000002</v>
      </c>
      <c r="K7" s="4">
        <f t="shared" si="0"/>
        <v>39.491472404480007</v>
      </c>
      <c r="L7" s="4">
        <f t="shared" si="0"/>
        <v>46.071131300659211</v>
      </c>
      <c r="M7" s="4">
        <f t="shared" si="0"/>
        <v>52.913976552685583</v>
      </c>
      <c r="N7" s="4">
        <f t="shared" si="0"/>
        <v>60.03053561479301</v>
      </c>
      <c r="O7" s="4">
        <f t="shared" si="0"/>
        <v>67.431757039384735</v>
      </c>
      <c r="P7" s="4">
        <f t="shared" si="0"/>
        <v>75.129027320960134</v>
      </c>
      <c r="Q7" s="4">
        <f t="shared" si="0"/>
        <v>83.13418841379854</v>
      </c>
      <c r="R7" s="4">
        <f t="shared" si="0"/>
        <v>91.459555950350492</v>
      </c>
      <c r="S7" s="4">
        <f t="shared" si="0"/>
        <v>100.11793818836452</v>
      </c>
      <c r="T7" s="4">
        <f t="shared" si="0"/>
        <v>109.1226557158991</v>
      </c>
      <c r="U7" s="4">
        <f t="shared" si="0"/>
        <v>118.48756194453507</v>
      </c>
      <c r="V7" s="4">
        <f t="shared" si="0"/>
        <v>128.22706442231649</v>
      </c>
      <c r="W7" s="4">
        <f t="shared" si="0"/>
        <v>138.35614699920916</v>
      </c>
      <c r="X7" s="4">
        <f t="shared" si="0"/>
        <v>148.89039287917754</v>
      </c>
      <c r="Y7" s="4">
        <f t="shared" si="0"/>
        <v>159.84600859434465</v>
      </c>
      <c r="Z7" s="4">
        <f t="shared" si="0"/>
        <v>171.23984893811846</v>
      </c>
      <c r="AA7" s="4">
        <f t="shared" si="0"/>
        <v>183.0894428956432</v>
      </c>
      <c r="AB7" s="4">
        <f t="shared" si="0"/>
        <v>195.41302061146894</v>
      </c>
      <c r="AC7" s="4">
        <f t="shared" si="0"/>
        <v>208.2295414359277</v>
      </c>
      <c r="AD7" s="4">
        <f t="shared" si="0"/>
        <v>221.55872309336482</v>
      </c>
      <c r="AE7" s="4">
        <f t="shared" si="0"/>
        <v>235.42107201709942</v>
      </c>
      <c r="AF7" s="4">
        <f t="shared" si="0"/>
        <v>249.83791489778341</v>
      </c>
      <c r="AG7" s="4">
        <f t="shared" si="0"/>
        <v>264.83143149369477</v>
      </c>
      <c r="AH7" s="4">
        <f t="shared" si="0"/>
        <v>280.42468875344258</v>
      </c>
      <c r="AI7" s="4">
        <f t="shared" si="0"/>
        <v>296.64167630358031</v>
      </c>
      <c r="AJ7" s="4">
        <f t="shared" si="0"/>
        <v>313.50734335572355</v>
      </c>
      <c r="AK7" s="4">
        <f t="shared" si="0"/>
        <v>331.0476370899525</v>
      </c>
      <c r="AL7" s="4">
        <f t="shared" si="0"/>
        <v>349.28954257355059</v>
      </c>
    </row>
    <row r="8" spans="2:38" x14ac:dyDescent="0.2">
      <c r="B8" s="44"/>
    </row>
    <row r="9" spans="2:38" x14ac:dyDescent="0.2">
      <c r="B9" s="42" t="s">
        <v>65</v>
      </c>
      <c r="C9">
        <f>IFERROR(B9+C10-C11,0)</f>
        <v>0</v>
      </c>
      <c r="D9">
        <f>IFERROR(C9+D10-D11,0)</f>
        <v>0</v>
      </c>
      <c r="E9">
        <f t="shared" ref="E9:AL9" si="1">IFERROR(D9+E10-E11,0)</f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1</v>
      </c>
      <c r="N9">
        <f t="shared" si="1"/>
        <v>1</v>
      </c>
      <c r="O9">
        <f t="shared" si="1"/>
        <v>1</v>
      </c>
      <c r="P9">
        <f t="shared" si="1"/>
        <v>1</v>
      </c>
      <c r="Q9">
        <f t="shared" si="1"/>
        <v>1</v>
      </c>
      <c r="R9">
        <f t="shared" si="1"/>
        <v>1</v>
      </c>
      <c r="S9">
        <f t="shared" si="1"/>
        <v>2</v>
      </c>
      <c r="T9">
        <f t="shared" si="1"/>
        <v>2</v>
      </c>
      <c r="U9">
        <f t="shared" si="1"/>
        <v>2</v>
      </c>
      <c r="V9">
        <f t="shared" si="1"/>
        <v>2</v>
      </c>
      <c r="W9">
        <f t="shared" si="1"/>
        <v>2</v>
      </c>
      <c r="X9">
        <f t="shared" si="1"/>
        <v>2</v>
      </c>
      <c r="Y9">
        <f t="shared" si="1"/>
        <v>3</v>
      </c>
      <c r="Z9">
        <f t="shared" si="1"/>
        <v>3</v>
      </c>
      <c r="AA9">
        <f t="shared" si="1"/>
        <v>3</v>
      </c>
      <c r="AB9">
        <f t="shared" si="1"/>
        <v>3</v>
      </c>
      <c r="AC9">
        <f t="shared" si="1"/>
        <v>4</v>
      </c>
      <c r="AD9">
        <f t="shared" si="1"/>
        <v>4</v>
      </c>
      <c r="AE9">
        <f t="shared" si="1"/>
        <v>4</v>
      </c>
      <c r="AF9">
        <f t="shared" si="1"/>
        <v>4</v>
      </c>
      <c r="AG9">
        <f t="shared" si="1"/>
        <v>5</v>
      </c>
      <c r="AH9">
        <f t="shared" si="1"/>
        <v>5</v>
      </c>
      <c r="AI9">
        <f t="shared" si="1"/>
        <v>5</v>
      </c>
      <c r="AJ9">
        <f t="shared" si="1"/>
        <v>6</v>
      </c>
      <c r="AK9">
        <f t="shared" si="1"/>
        <v>6</v>
      </c>
      <c r="AL9">
        <f t="shared" si="1"/>
        <v>6</v>
      </c>
    </row>
    <row r="10" spans="2:38" x14ac:dyDescent="0.2">
      <c r="B10" s="48" t="s">
        <v>78</v>
      </c>
      <c r="C10">
        <f>IFERROR(ROUNDDOWN(C7*(Assumptions!$I$7),0) -ROUNDDOWN('Sales and Customer Acquisition '!B7*(Assumptions!$I$7),0),0)</f>
        <v>0</v>
      </c>
      <c r="D10">
        <f>IFERROR(ROUNDDOWN(D7*(Assumptions!$I$7),0) -ROUNDDOWN('Sales and Customer Acquisition '!C7*(Assumptions!$I$7),0),0)</f>
        <v>0</v>
      </c>
      <c r="E10">
        <f>IFERROR(ROUNDDOWN(E7*(Assumptions!$I$7),0) -ROUNDDOWN('Sales and Customer Acquisition '!D7*(Assumptions!$I$7),0),0)</f>
        <v>0</v>
      </c>
      <c r="F10">
        <f>IFERROR(ROUNDDOWN(F7*(Assumptions!$I$7),0) -ROUNDDOWN('Sales and Customer Acquisition '!E7*(Assumptions!$I$7),0),0)</f>
        <v>0</v>
      </c>
      <c r="G10">
        <f>IFERROR(ROUNDDOWN(G7*(Assumptions!$I$7),0) -ROUNDDOWN('Sales and Customer Acquisition '!F7*(Assumptions!$I$7),0),0)</f>
        <v>0</v>
      </c>
      <c r="H10">
        <f>IFERROR(ROUNDDOWN(H7*(Assumptions!$I$7),0) -ROUNDDOWN('Sales and Customer Acquisition '!G7*(Assumptions!$I$7),0),0)</f>
        <v>0</v>
      </c>
      <c r="I10">
        <f>IFERROR(ROUNDDOWN(I7*(Assumptions!$I$7),0) -ROUNDDOWN('Sales and Customer Acquisition '!H7*(Assumptions!$I$7),0),0)</f>
        <v>0</v>
      </c>
      <c r="J10">
        <f>IFERROR(ROUNDDOWN(J7*(Assumptions!$I$7),0) -ROUNDDOWN('Sales and Customer Acquisition '!I7*(Assumptions!$I$7),0),0)</f>
        <v>0</v>
      </c>
      <c r="K10">
        <f>IFERROR(ROUNDDOWN(K7*(Assumptions!$I$7),0) -ROUNDDOWN('Sales and Customer Acquisition '!J7*(Assumptions!$I$7),0),0)</f>
        <v>0</v>
      </c>
      <c r="L10">
        <f>IFERROR(ROUNDDOWN(L7*(Assumptions!$I$7),0) -ROUNDDOWN('Sales and Customer Acquisition '!K7*(Assumptions!$I$7),0),0)</f>
        <v>0</v>
      </c>
      <c r="M10">
        <f>IFERROR(ROUNDDOWN(M7*(Assumptions!$I$7),0) -ROUNDDOWN('Sales and Customer Acquisition '!L7*(Assumptions!$I$7),0),0)</f>
        <v>1</v>
      </c>
      <c r="N10">
        <f>IFERROR(ROUNDDOWN(N7*(Assumptions!$I$7),0) -ROUNDDOWN('Sales and Customer Acquisition '!M7*(Assumptions!$I$7),0),0)</f>
        <v>0</v>
      </c>
      <c r="O10">
        <f>IFERROR(ROUNDDOWN(O7*(Assumptions!$I$7),0) -ROUNDDOWN('Sales and Customer Acquisition '!N7*(Assumptions!$I$7),0),0)</f>
        <v>0</v>
      </c>
      <c r="P10">
        <f>IFERROR(ROUNDDOWN(P7*(Assumptions!$I$7),0) -ROUNDDOWN('Sales and Customer Acquisition '!O7*(Assumptions!$I$7),0),0)</f>
        <v>0</v>
      </c>
      <c r="Q10">
        <f>IFERROR(ROUNDDOWN(Q7*(Assumptions!$I$7),0) -ROUNDDOWN('Sales and Customer Acquisition '!P7*(Assumptions!$I$7),0),0)</f>
        <v>0</v>
      </c>
      <c r="R10">
        <f>IFERROR(ROUNDDOWN(R7*(Assumptions!$I$7),0) -ROUNDDOWN('Sales and Customer Acquisition '!Q7*(Assumptions!$I$7),0),0)</f>
        <v>0</v>
      </c>
      <c r="S10">
        <f>IFERROR(ROUNDDOWN(S7*(Assumptions!$I$7),0) -ROUNDDOWN('Sales and Customer Acquisition '!R7*(Assumptions!$I$7),0),0)</f>
        <v>1</v>
      </c>
      <c r="T10">
        <f>IFERROR(ROUNDDOWN(T7*(Assumptions!$I$7),0) -ROUNDDOWN('Sales and Customer Acquisition '!S7*(Assumptions!$I$7),0),0)</f>
        <v>0</v>
      </c>
      <c r="U10">
        <f>IFERROR(ROUNDDOWN(U7*(Assumptions!$I$7),0) -ROUNDDOWN('Sales and Customer Acquisition '!T7*(Assumptions!$I$7),0),0)</f>
        <v>0</v>
      </c>
      <c r="V10">
        <f>IFERROR(ROUNDDOWN(V7*(Assumptions!$I$7),0) -ROUNDDOWN('Sales and Customer Acquisition '!U7*(Assumptions!$I$7),0),0)</f>
        <v>0</v>
      </c>
      <c r="W10">
        <f>IFERROR(ROUNDDOWN(W7*(Assumptions!$I$7),0) -ROUNDDOWN('Sales and Customer Acquisition '!V7*(Assumptions!$I$7),0),0)</f>
        <v>0</v>
      </c>
      <c r="X10">
        <f>IFERROR(ROUNDDOWN(X7*(Assumptions!$I$7),0) -ROUNDDOWN('Sales and Customer Acquisition '!W7*(Assumptions!$I$7),0),0)</f>
        <v>0</v>
      </c>
      <c r="Y10">
        <f>IFERROR(ROUNDDOWN(Y7*(Assumptions!$I$7),0) -ROUNDDOWN('Sales and Customer Acquisition '!X7*(Assumptions!$I$7),0),0)</f>
        <v>1</v>
      </c>
      <c r="Z10">
        <f>IFERROR(ROUNDDOWN(Z7*(Assumptions!$I$7),0) -ROUNDDOWN('Sales and Customer Acquisition '!Y7*(Assumptions!$I$7),0),0)</f>
        <v>0</v>
      </c>
      <c r="AA10">
        <f>IFERROR(ROUNDDOWN(AA7*(Assumptions!$I$7),0) -ROUNDDOWN('Sales and Customer Acquisition '!Z7*(Assumptions!$I$7),0),0)</f>
        <v>0</v>
      </c>
      <c r="AB10">
        <f>IFERROR(ROUNDDOWN(AB7*(Assumptions!$I$7),0) -ROUNDDOWN('Sales and Customer Acquisition '!AA7*(Assumptions!$I$7),0),0)</f>
        <v>0</v>
      </c>
      <c r="AC10">
        <f>IFERROR(ROUNDDOWN(AC7*(Assumptions!$I$7),0) -ROUNDDOWN('Sales and Customer Acquisition '!AB7*(Assumptions!$I$7),0),0)</f>
        <v>1</v>
      </c>
      <c r="AD10">
        <f>IFERROR(ROUNDDOWN(AD7*(Assumptions!$I$7),0) -ROUNDDOWN('Sales and Customer Acquisition '!AC7*(Assumptions!$I$7),0),0)</f>
        <v>0</v>
      </c>
      <c r="AE10">
        <f>IFERROR(ROUNDDOWN(AE7*(Assumptions!$I$7),0) -ROUNDDOWN('Sales and Customer Acquisition '!AD7*(Assumptions!$I$7),0),0)</f>
        <v>0</v>
      </c>
      <c r="AF10">
        <f>IFERROR(ROUNDDOWN(AF7*(Assumptions!$I$7),0) -ROUNDDOWN('Sales and Customer Acquisition '!AE7*(Assumptions!$I$7),0),0)</f>
        <v>0</v>
      </c>
      <c r="AG10">
        <f>IFERROR(ROUNDDOWN(AG7*(Assumptions!$I$7),0) -ROUNDDOWN('Sales and Customer Acquisition '!AF7*(Assumptions!$I$7),0),0)</f>
        <v>1</v>
      </c>
      <c r="AH10">
        <f>IFERROR(ROUNDDOWN(AH7*(Assumptions!$I$7),0) -ROUNDDOWN('Sales and Customer Acquisition '!AG7*(Assumptions!$I$7),0),0)</f>
        <v>0</v>
      </c>
      <c r="AI10">
        <f>IFERROR(ROUNDDOWN(AI7*(Assumptions!$I$7),0) -ROUNDDOWN('Sales and Customer Acquisition '!AH7*(Assumptions!$I$7),0),0)</f>
        <v>0</v>
      </c>
      <c r="AJ10">
        <f>IFERROR(ROUNDDOWN(AJ7*(Assumptions!$I$7),0) -ROUNDDOWN('Sales and Customer Acquisition '!AI7*(Assumptions!$I$7),0),0)</f>
        <v>1</v>
      </c>
      <c r="AK10">
        <f>IFERROR(ROUNDDOWN(AK7*(Assumptions!$I$7),0) -ROUNDDOWN('Sales and Customer Acquisition '!AJ7*(Assumptions!$I$7),0),0)</f>
        <v>0</v>
      </c>
      <c r="AL10">
        <f>IFERROR(ROUNDDOWN(AL7*(Assumptions!$I$7),0) -ROUNDDOWN('Sales and Customer Acquisition '!AK7*(Assumptions!$I$7),0),0)</f>
        <v>0</v>
      </c>
    </row>
    <row r="11" spans="2:38" x14ac:dyDescent="0.2">
      <c r="B11" s="48" t="s">
        <v>76</v>
      </c>
      <c r="C11">
        <f>IFERROR(ROUNDDOWN(B9*Assumptions!$I$8,0),0)</f>
        <v>0</v>
      </c>
      <c r="D11">
        <f>IFERROR(ROUNDDOWN(C9*Assumptions!$I$8,0),0)</f>
        <v>0</v>
      </c>
      <c r="E11">
        <f>IFERROR(ROUNDDOWN(D9*Assumptions!$I$8,0),0)</f>
        <v>0</v>
      </c>
      <c r="F11">
        <f>IFERROR(ROUNDDOWN(E9*Assumptions!$I$8,0),0)</f>
        <v>0</v>
      </c>
      <c r="G11">
        <f>IFERROR(ROUNDDOWN(F9*Assumptions!$I$8,0),0)</f>
        <v>0</v>
      </c>
      <c r="H11">
        <f>IFERROR(ROUNDDOWN(G9*Assumptions!$I$8,0),0)</f>
        <v>0</v>
      </c>
      <c r="I11">
        <f>IFERROR(ROUNDDOWN(H9*Assumptions!$I$8,0),0)</f>
        <v>0</v>
      </c>
      <c r="J11">
        <f>IFERROR(ROUNDDOWN(I9*Assumptions!$I$8,0),0)</f>
        <v>0</v>
      </c>
      <c r="K11">
        <f>IFERROR(ROUNDDOWN(J9*Assumptions!$I$8,0),0)</f>
        <v>0</v>
      </c>
      <c r="L11">
        <f>IFERROR(ROUNDDOWN(K9*Assumptions!$I$8,0),0)</f>
        <v>0</v>
      </c>
      <c r="M11">
        <f>IFERROR(ROUNDDOWN(L9*Assumptions!$I$8,0),0)</f>
        <v>0</v>
      </c>
      <c r="N11">
        <f>IFERROR(ROUNDDOWN(M9*Assumptions!$I$8,0),0)</f>
        <v>0</v>
      </c>
      <c r="O11">
        <f>IFERROR(ROUNDDOWN(N9*Assumptions!$I$8,0),0)</f>
        <v>0</v>
      </c>
      <c r="P11">
        <f>IFERROR(ROUNDDOWN(O9*Assumptions!$I$8,0),0)</f>
        <v>0</v>
      </c>
      <c r="Q11">
        <f>IFERROR(ROUNDDOWN(P9*Assumptions!$I$8,0),0)</f>
        <v>0</v>
      </c>
      <c r="R11">
        <f>IFERROR(ROUNDDOWN(Q9*Assumptions!$I$8,0),0)</f>
        <v>0</v>
      </c>
      <c r="S11">
        <f>IFERROR(ROUNDDOWN(R9*Assumptions!$I$8,0),0)</f>
        <v>0</v>
      </c>
      <c r="T11">
        <f>IFERROR(ROUNDDOWN(S9*Assumptions!$I$8,0),0)</f>
        <v>0</v>
      </c>
      <c r="U11">
        <f>IFERROR(ROUNDDOWN(T9*Assumptions!$I$8,0),0)</f>
        <v>0</v>
      </c>
      <c r="V11">
        <f>IFERROR(ROUNDDOWN(U9*Assumptions!$I$8,0),0)</f>
        <v>0</v>
      </c>
      <c r="W11">
        <f>IFERROR(ROUNDDOWN(V9*Assumptions!$I$8,0),0)</f>
        <v>0</v>
      </c>
      <c r="X11">
        <f>IFERROR(ROUNDDOWN(W9*Assumptions!$I$8,0),0)</f>
        <v>0</v>
      </c>
      <c r="Y11">
        <f>IFERROR(ROUNDDOWN(X9*Assumptions!$I$8,0),0)</f>
        <v>0</v>
      </c>
      <c r="Z11">
        <f>IFERROR(ROUNDDOWN(Y9*Assumptions!$I$8,0),0)</f>
        <v>0</v>
      </c>
      <c r="AA11">
        <f>IFERROR(ROUNDDOWN(Z9*Assumptions!$I$8,0),0)</f>
        <v>0</v>
      </c>
      <c r="AB11">
        <f>IFERROR(ROUNDDOWN(AA9*Assumptions!$I$8,0),0)</f>
        <v>0</v>
      </c>
      <c r="AC11">
        <f>IFERROR(ROUNDDOWN(AB9*Assumptions!$I$8,0),0)</f>
        <v>0</v>
      </c>
      <c r="AD11">
        <f>IFERROR(ROUNDDOWN(AC9*Assumptions!$I$8,0),0)</f>
        <v>0</v>
      </c>
      <c r="AE11">
        <f>IFERROR(ROUNDDOWN(AD9*Assumptions!$I$8,0),0)</f>
        <v>0</v>
      </c>
      <c r="AF11">
        <f>IFERROR(ROUNDDOWN(AE9*Assumptions!$I$8,0),0)</f>
        <v>0</v>
      </c>
      <c r="AG11">
        <f>IFERROR(ROUNDDOWN(AF9*Assumptions!$I$8,0),0)</f>
        <v>0</v>
      </c>
      <c r="AH11">
        <f>IFERROR(ROUNDDOWN(AG9*Assumptions!$I$8,0),0)</f>
        <v>0</v>
      </c>
      <c r="AI11">
        <f>IFERROR(ROUNDDOWN(AH9*Assumptions!$I$8,0),0)</f>
        <v>0</v>
      </c>
      <c r="AJ11">
        <f>IFERROR(ROUNDDOWN(AI9*Assumptions!$I$8,0),0)</f>
        <v>0</v>
      </c>
      <c r="AK11">
        <f>IFERROR(ROUNDDOWN(AJ9*Assumptions!$I$8,0),0)</f>
        <v>0</v>
      </c>
      <c r="AL11">
        <f>IFERROR(ROUNDDOWN(AK9*Assumptions!$I$8,0),0)</f>
        <v>0</v>
      </c>
    </row>
    <row r="12" spans="2:38" x14ac:dyDescent="0.2">
      <c r="B12" s="53"/>
    </row>
    <row r="13" spans="2:38" x14ac:dyDescent="0.2">
      <c r="B13" s="42" t="s">
        <v>66</v>
      </c>
      <c r="C13">
        <f t="shared" ref="C13:AL13" si="2">IFERROR(B13+C15-C14,0)</f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15</v>
      </c>
      <c r="N13">
        <f t="shared" si="2"/>
        <v>16</v>
      </c>
      <c r="O13">
        <f t="shared" si="2"/>
        <v>17</v>
      </c>
      <c r="P13">
        <f t="shared" si="2"/>
        <v>18</v>
      </c>
      <c r="Q13">
        <f t="shared" si="2"/>
        <v>19</v>
      </c>
      <c r="R13">
        <f t="shared" si="2"/>
        <v>21</v>
      </c>
      <c r="S13">
        <f t="shared" si="2"/>
        <v>38</v>
      </c>
      <c r="T13">
        <f t="shared" si="2"/>
        <v>42</v>
      </c>
      <c r="U13">
        <f t="shared" si="2"/>
        <v>46</v>
      </c>
      <c r="V13">
        <f t="shared" si="2"/>
        <v>51</v>
      </c>
      <c r="W13">
        <f t="shared" si="2"/>
        <v>56</v>
      </c>
      <c r="X13">
        <f t="shared" si="2"/>
        <v>62</v>
      </c>
      <c r="Y13">
        <f t="shared" si="2"/>
        <v>83</v>
      </c>
      <c r="Z13">
        <f t="shared" si="2"/>
        <v>92</v>
      </c>
      <c r="AA13">
        <f t="shared" si="2"/>
        <v>102</v>
      </c>
      <c r="AB13">
        <f t="shared" si="2"/>
        <v>113</v>
      </c>
      <c r="AC13">
        <f t="shared" si="2"/>
        <v>140</v>
      </c>
      <c r="AD13">
        <f t="shared" si="2"/>
        <v>155</v>
      </c>
      <c r="AE13">
        <f t="shared" si="2"/>
        <v>172</v>
      </c>
      <c r="AF13">
        <f t="shared" si="2"/>
        <v>190</v>
      </c>
      <c r="AG13">
        <f t="shared" si="2"/>
        <v>225</v>
      </c>
      <c r="AH13">
        <f t="shared" si="2"/>
        <v>249</v>
      </c>
      <c r="AI13">
        <f t="shared" si="2"/>
        <v>276</v>
      </c>
      <c r="AJ13">
        <f t="shared" si="2"/>
        <v>321</v>
      </c>
      <c r="AK13">
        <f t="shared" si="2"/>
        <v>356</v>
      </c>
      <c r="AL13">
        <f t="shared" si="2"/>
        <v>395</v>
      </c>
    </row>
    <row r="14" spans="2:38" x14ac:dyDescent="0.2">
      <c r="B14" s="54" t="s">
        <v>77</v>
      </c>
      <c r="C14">
        <f t="shared" ref="C14:AL14" si="3">IFERROR(C11*ROUND(B13/B9,0),0)</f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  <c r="AL14">
        <f t="shared" si="3"/>
        <v>0</v>
      </c>
    </row>
    <row r="15" spans="2:38" x14ac:dyDescent="0.2">
      <c r="B15" s="54" t="s">
        <v>82</v>
      </c>
      <c r="C15">
        <f t="shared" ref="C15" si="4">SUM(C16:C17)</f>
        <v>0</v>
      </c>
      <c r="D15">
        <f t="shared" ref="D15:AL15" si="5">SUM(D16:D17)</f>
        <v>0</v>
      </c>
      <c r="E15">
        <f t="shared" si="5"/>
        <v>0</v>
      </c>
      <c r="F15">
        <f t="shared" si="5"/>
        <v>0</v>
      </c>
      <c r="G15">
        <f t="shared" si="5"/>
        <v>0</v>
      </c>
      <c r="H15">
        <f t="shared" si="5"/>
        <v>0</v>
      </c>
      <c r="I15">
        <f t="shared" si="5"/>
        <v>0</v>
      </c>
      <c r="J15">
        <f t="shared" si="5"/>
        <v>0</v>
      </c>
      <c r="K15">
        <f t="shared" si="5"/>
        <v>0</v>
      </c>
      <c r="L15">
        <f t="shared" si="5"/>
        <v>0</v>
      </c>
      <c r="M15">
        <f t="shared" si="5"/>
        <v>15</v>
      </c>
      <c r="N15">
        <f t="shared" si="5"/>
        <v>1</v>
      </c>
      <c r="O15">
        <f t="shared" si="5"/>
        <v>1</v>
      </c>
      <c r="P15">
        <f t="shared" si="5"/>
        <v>1</v>
      </c>
      <c r="Q15">
        <f t="shared" si="5"/>
        <v>1</v>
      </c>
      <c r="R15">
        <f t="shared" si="5"/>
        <v>2</v>
      </c>
      <c r="S15">
        <f t="shared" si="5"/>
        <v>17</v>
      </c>
      <c r="T15">
        <f t="shared" si="5"/>
        <v>4</v>
      </c>
      <c r="U15">
        <f t="shared" si="5"/>
        <v>4</v>
      </c>
      <c r="V15">
        <f t="shared" si="5"/>
        <v>5</v>
      </c>
      <c r="W15">
        <f t="shared" si="5"/>
        <v>5</v>
      </c>
      <c r="X15">
        <f t="shared" si="5"/>
        <v>6</v>
      </c>
      <c r="Y15">
        <f t="shared" si="5"/>
        <v>21</v>
      </c>
      <c r="Z15">
        <f t="shared" si="5"/>
        <v>9</v>
      </c>
      <c r="AA15">
        <f t="shared" si="5"/>
        <v>10</v>
      </c>
      <c r="AB15">
        <f t="shared" si="5"/>
        <v>11</v>
      </c>
      <c r="AC15">
        <f t="shared" si="5"/>
        <v>27</v>
      </c>
      <c r="AD15">
        <f t="shared" si="5"/>
        <v>15</v>
      </c>
      <c r="AE15">
        <f t="shared" si="5"/>
        <v>17</v>
      </c>
      <c r="AF15">
        <f t="shared" si="5"/>
        <v>18</v>
      </c>
      <c r="AG15">
        <f t="shared" si="5"/>
        <v>35</v>
      </c>
      <c r="AH15">
        <f t="shared" si="5"/>
        <v>24</v>
      </c>
      <c r="AI15">
        <f t="shared" si="5"/>
        <v>27</v>
      </c>
      <c r="AJ15">
        <f t="shared" si="5"/>
        <v>45</v>
      </c>
      <c r="AK15">
        <f t="shared" si="5"/>
        <v>35</v>
      </c>
      <c r="AL15">
        <f t="shared" si="5"/>
        <v>39</v>
      </c>
    </row>
    <row r="16" spans="2:38" x14ac:dyDescent="0.2">
      <c r="B16" s="47" t="s">
        <v>81</v>
      </c>
      <c r="C16">
        <f>C10*Assumptions!$I$9</f>
        <v>0</v>
      </c>
      <c r="D16">
        <f>D10*Assumptions!$I$9</f>
        <v>0</v>
      </c>
      <c r="E16">
        <f>E10*Assumptions!$I$9</f>
        <v>0</v>
      </c>
      <c r="F16">
        <f>F10*Assumptions!$I$9</f>
        <v>0</v>
      </c>
      <c r="G16">
        <f>G10*Assumptions!$I$9</f>
        <v>0</v>
      </c>
      <c r="H16">
        <f>H10*Assumptions!$I$9</f>
        <v>0</v>
      </c>
      <c r="I16">
        <f>I10*Assumptions!$I$9</f>
        <v>0</v>
      </c>
      <c r="J16">
        <f>J10*Assumptions!$I$9</f>
        <v>0</v>
      </c>
      <c r="K16">
        <f>K10*Assumptions!$I$9</f>
        <v>0</v>
      </c>
      <c r="L16">
        <f>L10*Assumptions!$I$9</f>
        <v>0</v>
      </c>
      <c r="M16">
        <f>M10*Assumptions!$I$9</f>
        <v>15</v>
      </c>
      <c r="N16">
        <f>N10*Assumptions!$I$9</f>
        <v>0</v>
      </c>
      <c r="O16">
        <f>O10*Assumptions!$I$9</f>
        <v>0</v>
      </c>
      <c r="P16">
        <f>P10*Assumptions!$I$9</f>
        <v>0</v>
      </c>
      <c r="Q16">
        <f>Q10*Assumptions!$I$9</f>
        <v>0</v>
      </c>
      <c r="R16">
        <f>R10*Assumptions!$I$9</f>
        <v>0</v>
      </c>
      <c r="S16">
        <f>S10*Assumptions!$I$9</f>
        <v>15</v>
      </c>
      <c r="T16">
        <f>T10*Assumptions!$I$9</f>
        <v>0</v>
      </c>
      <c r="U16">
        <f>U10*Assumptions!$I$9</f>
        <v>0</v>
      </c>
      <c r="V16">
        <f>V10*Assumptions!$I$9</f>
        <v>0</v>
      </c>
      <c r="W16">
        <f>W10*Assumptions!$I$9</f>
        <v>0</v>
      </c>
      <c r="X16">
        <f>X10*Assumptions!$I$9</f>
        <v>0</v>
      </c>
      <c r="Y16">
        <f>Y10*Assumptions!$I$9</f>
        <v>15</v>
      </c>
      <c r="Z16">
        <f>Z10*Assumptions!$I$9</f>
        <v>0</v>
      </c>
      <c r="AA16">
        <f>AA10*Assumptions!$I$9</f>
        <v>0</v>
      </c>
      <c r="AB16">
        <f>AB10*Assumptions!$I$9</f>
        <v>0</v>
      </c>
      <c r="AC16">
        <f>AC10*Assumptions!$I$9</f>
        <v>15</v>
      </c>
      <c r="AD16">
        <f>AD10*Assumptions!$I$9</f>
        <v>0</v>
      </c>
      <c r="AE16">
        <f>AE10*Assumptions!$I$9</f>
        <v>0</v>
      </c>
      <c r="AF16">
        <f>AF10*Assumptions!$I$9</f>
        <v>0</v>
      </c>
      <c r="AG16">
        <f>AG10*Assumptions!$I$9</f>
        <v>15</v>
      </c>
      <c r="AH16">
        <f>AH10*Assumptions!$I$9</f>
        <v>0</v>
      </c>
      <c r="AI16">
        <f>AI10*Assumptions!$I$9</f>
        <v>0</v>
      </c>
      <c r="AJ16">
        <f>AJ10*Assumptions!$I$9</f>
        <v>15</v>
      </c>
      <c r="AK16">
        <f>AK10*Assumptions!$I$9</f>
        <v>0</v>
      </c>
      <c r="AL16">
        <f>AL10*Assumptions!$I$9</f>
        <v>0</v>
      </c>
    </row>
    <row r="17" spans="2:38" x14ac:dyDescent="0.2">
      <c r="B17" s="47" t="s">
        <v>83</v>
      </c>
      <c r="C17">
        <f>IFERROR(ROUNDDOWN(B13*(Assumptions!$I$10+1)-B13,0),0)</f>
        <v>0</v>
      </c>
      <c r="D17">
        <f>IFERROR(ROUNDDOWN(C13*(Assumptions!$I$10+1)-C13,0),0)</f>
        <v>0</v>
      </c>
      <c r="E17">
        <f>IFERROR(ROUNDDOWN(D13*(Assumptions!$I$10+1)-D13,0),0)</f>
        <v>0</v>
      </c>
      <c r="F17">
        <f>IFERROR(ROUNDDOWN(E13*(Assumptions!$I$10+1)-E13,0),0)</f>
        <v>0</v>
      </c>
      <c r="G17">
        <f>IFERROR(ROUNDDOWN(F13*(Assumptions!$I$10+1)-F13,0),0)</f>
        <v>0</v>
      </c>
      <c r="H17">
        <f>IFERROR(ROUNDDOWN(G13*(Assumptions!$I$10+1)-G13,0),0)</f>
        <v>0</v>
      </c>
      <c r="I17">
        <f>IFERROR(ROUNDDOWN(H13*(Assumptions!$I$10+1)-H13,0),0)</f>
        <v>0</v>
      </c>
      <c r="J17">
        <f>IFERROR(ROUNDDOWN(I13*(Assumptions!$I$10+1)-I13,0),0)</f>
        <v>0</v>
      </c>
      <c r="K17">
        <f>IFERROR(ROUNDDOWN(J13*(Assumptions!$I$10+1)-J13,0),0)</f>
        <v>0</v>
      </c>
      <c r="L17">
        <f>IFERROR(ROUNDDOWN(K13*(Assumptions!$I$10+1)-K13,0),0)</f>
        <v>0</v>
      </c>
      <c r="M17">
        <f>IFERROR(ROUNDDOWN(L13*(Assumptions!$I$10+1)-L13,0),0)</f>
        <v>0</v>
      </c>
      <c r="N17">
        <f>IFERROR(ROUNDDOWN(M13*(Assumptions!$I$10+1)-M13,0),0)</f>
        <v>1</v>
      </c>
      <c r="O17">
        <f>IFERROR(ROUNDDOWN(N13*(Assumptions!$I$10+1)-N13,0),0)</f>
        <v>1</v>
      </c>
      <c r="P17">
        <f>IFERROR(ROUNDDOWN(O13*(Assumptions!$I$10+1)-O13,0),0)</f>
        <v>1</v>
      </c>
      <c r="Q17">
        <f>IFERROR(ROUNDDOWN(P13*(Assumptions!$I$10+1)-P13,0),0)</f>
        <v>1</v>
      </c>
      <c r="R17">
        <f>IFERROR(ROUNDDOWN(Q13*(Assumptions!$I$10+1)-Q13,0),0)</f>
        <v>2</v>
      </c>
      <c r="S17">
        <f>IFERROR(ROUNDDOWN(R13*(Assumptions!$I$10+1)-R13,0),0)</f>
        <v>2</v>
      </c>
      <c r="T17">
        <f>IFERROR(ROUNDDOWN(S13*(Assumptions!$I$10+1)-S13,0),0)</f>
        <v>4</v>
      </c>
      <c r="U17">
        <f>IFERROR(ROUNDDOWN(T13*(Assumptions!$I$10+1)-T13,0),0)</f>
        <v>4</v>
      </c>
      <c r="V17">
        <f>IFERROR(ROUNDDOWN(U13*(Assumptions!$I$10+1)-U13,0),0)</f>
        <v>5</v>
      </c>
      <c r="W17">
        <f>IFERROR(ROUNDDOWN(V13*(Assumptions!$I$10+1)-V13,0),0)</f>
        <v>5</v>
      </c>
      <c r="X17">
        <f>IFERROR(ROUNDDOWN(W13*(Assumptions!$I$10+1)-W13,0),0)</f>
        <v>6</v>
      </c>
      <c r="Y17">
        <f>IFERROR(ROUNDDOWN(X13*(Assumptions!$I$10+1)-X13,0),0)</f>
        <v>6</v>
      </c>
      <c r="Z17">
        <f>IFERROR(ROUNDDOWN(Y13*(Assumptions!$I$10+1)-Y13,0),0)</f>
        <v>9</v>
      </c>
      <c r="AA17">
        <f>IFERROR(ROUNDDOWN(Z13*(Assumptions!$I$10+1)-Z13,0),0)</f>
        <v>10</v>
      </c>
      <c r="AB17">
        <f>IFERROR(ROUNDDOWN(AA13*(Assumptions!$I$10+1)-AA13,0),0)</f>
        <v>11</v>
      </c>
      <c r="AC17">
        <f>IFERROR(ROUNDDOWN(AB13*(Assumptions!$I$10+1)-AB13,0),0)</f>
        <v>12</v>
      </c>
      <c r="AD17">
        <f>IFERROR(ROUNDDOWN(AC13*(Assumptions!$I$10+1)-AC13,0),0)</f>
        <v>15</v>
      </c>
      <c r="AE17">
        <f>IFERROR(ROUNDDOWN(AD13*(Assumptions!$I$10+1)-AD13,0),0)</f>
        <v>17</v>
      </c>
      <c r="AF17">
        <f>IFERROR(ROUNDDOWN(AE13*(Assumptions!$I$10+1)-AE13,0),0)</f>
        <v>18</v>
      </c>
      <c r="AG17">
        <f>IFERROR(ROUNDDOWN(AF13*(Assumptions!$I$10+1)-AF13,0),0)</f>
        <v>20</v>
      </c>
      <c r="AH17">
        <f>IFERROR(ROUNDDOWN(AG13*(Assumptions!$I$10+1)-AG13,0),0)</f>
        <v>24</v>
      </c>
      <c r="AI17">
        <f>IFERROR(ROUNDDOWN(AH13*(Assumptions!$I$10+1)-AH13,0),0)</f>
        <v>27</v>
      </c>
      <c r="AJ17">
        <f>IFERROR(ROUNDDOWN(AI13*(Assumptions!$I$10+1)-AI13,0),0)</f>
        <v>30</v>
      </c>
      <c r="AK17">
        <f>IFERROR(ROUNDDOWN(AJ13*(Assumptions!$I$10+1)-AJ13,0),0)</f>
        <v>35</v>
      </c>
      <c r="AL17">
        <f>IFERROR(ROUNDDOWN(AK13*(Assumptions!$I$10+1)-AK13,0),0)</f>
        <v>39</v>
      </c>
    </row>
    <row r="18" spans="2:38" x14ac:dyDescent="0.2">
      <c r="B18" s="44"/>
    </row>
    <row r="19" spans="2:38" x14ac:dyDescent="0.2">
      <c r="B19" s="42" t="s">
        <v>107</v>
      </c>
      <c r="C19" s="52">
        <f>C20+C21</f>
        <v>0</v>
      </c>
      <c r="D19" s="52">
        <f t="shared" ref="D19:AL19" si="6">D20+D21</f>
        <v>0</v>
      </c>
      <c r="E19" s="52">
        <f t="shared" si="6"/>
        <v>0</v>
      </c>
      <c r="F19" s="52">
        <f t="shared" si="6"/>
        <v>0</v>
      </c>
      <c r="G19" s="52">
        <f t="shared" si="6"/>
        <v>0</v>
      </c>
      <c r="H19" s="52">
        <f t="shared" si="6"/>
        <v>0</v>
      </c>
      <c r="I19" s="52">
        <f t="shared" si="6"/>
        <v>0</v>
      </c>
      <c r="J19" s="52">
        <f t="shared" si="6"/>
        <v>0</v>
      </c>
      <c r="K19" s="52">
        <f t="shared" si="6"/>
        <v>0</v>
      </c>
      <c r="L19" s="52">
        <f t="shared" si="6"/>
        <v>0</v>
      </c>
      <c r="M19" s="52">
        <f t="shared" si="6"/>
        <v>81750</v>
      </c>
      <c r="N19" s="52">
        <f t="shared" si="6"/>
        <v>72200</v>
      </c>
      <c r="O19" s="52">
        <f t="shared" si="6"/>
        <v>76650</v>
      </c>
      <c r="P19" s="52">
        <f t="shared" si="6"/>
        <v>81100</v>
      </c>
      <c r="Q19" s="52">
        <f t="shared" si="6"/>
        <v>85550</v>
      </c>
      <c r="R19" s="52">
        <f t="shared" si="6"/>
        <v>95450</v>
      </c>
      <c r="S19" s="52">
        <f t="shared" si="6"/>
        <v>186100</v>
      </c>
      <c r="T19" s="52">
        <f t="shared" si="6"/>
        <v>190900</v>
      </c>
      <c r="U19" s="52">
        <f t="shared" si="6"/>
        <v>208700</v>
      </c>
      <c r="V19" s="52">
        <f t="shared" si="6"/>
        <v>231950</v>
      </c>
      <c r="W19" s="52">
        <f t="shared" si="6"/>
        <v>254200</v>
      </c>
      <c r="X19" s="52">
        <f t="shared" si="6"/>
        <v>281900</v>
      </c>
      <c r="Y19" s="52">
        <f t="shared" si="6"/>
        <v>390350</v>
      </c>
      <c r="Z19" s="52">
        <f t="shared" si="6"/>
        <v>418400</v>
      </c>
      <c r="AA19" s="52">
        <f t="shared" si="6"/>
        <v>463900</v>
      </c>
      <c r="AB19" s="52">
        <f t="shared" si="6"/>
        <v>513850</v>
      </c>
      <c r="AC19" s="52">
        <f t="shared" si="6"/>
        <v>650000</v>
      </c>
      <c r="AD19" s="52">
        <f t="shared" si="6"/>
        <v>704750</v>
      </c>
      <c r="AE19" s="52">
        <f t="shared" si="6"/>
        <v>782400</v>
      </c>
      <c r="AF19" s="52">
        <f t="shared" si="6"/>
        <v>863500</v>
      </c>
      <c r="AG19" s="52">
        <f t="shared" si="6"/>
        <v>1036250</v>
      </c>
      <c r="AH19" s="52">
        <f t="shared" si="6"/>
        <v>1132050</v>
      </c>
      <c r="AI19" s="52">
        <f t="shared" si="6"/>
        <v>1255200</v>
      </c>
      <c r="AJ19" s="52">
        <f t="shared" si="6"/>
        <v>1473450</v>
      </c>
      <c r="AK19" s="52">
        <f t="shared" si="6"/>
        <v>1619200</v>
      </c>
      <c r="AL19" s="52">
        <f t="shared" si="6"/>
        <v>1796750</v>
      </c>
    </row>
    <row r="20" spans="2:38" x14ac:dyDescent="0.2">
      <c r="B20" s="48" t="s">
        <v>71</v>
      </c>
      <c r="C20" s="52">
        <f>'Sales and Customer Acquisition '!C13*Assumptions!$I$11</f>
        <v>0</v>
      </c>
      <c r="D20" s="52">
        <f>'Sales and Customer Acquisition '!D13*Assumptions!$I$11</f>
        <v>0</v>
      </c>
      <c r="E20" s="52">
        <f>'Sales and Customer Acquisition '!E13*Assumptions!$I$11</f>
        <v>0</v>
      </c>
      <c r="F20" s="52">
        <f>'Sales and Customer Acquisition '!F13*Assumptions!$I$11</f>
        <v>0</v>
      </c>
      <c r="G20" s="52">
        <f>'Sales and Customer Acquisition '!G13*Assumptions!$I$11</f>
        <v>0</v>
      </c>
      <c r="H20" s="52">
        <f>'Sales and Customer Acquisition '!H13*Assumptions!$I$11</f>
        <v>0</v>
      </c>
      <c r="I20" s="52">
        <f>'Sales and Customer Acquisition '!I13*Assumptions!$I$11</f>
        <v>0</v>
      </c>
      <c r="J20" s="52">
        <f>'Sales and Customer Acquisition '!J13*Assumptions!$I$11</f>
        <v>0</v>
      </c>
      <c r="K20" s="52">
        <f>'Sales and Customer Acquisition '!K13*Assumptions!$I$11</f>
        <v>0</v>
      </c>
      <c r="L20" s="52">
        <f>'Sales and Customer Acquisition '!L13*Assumptions!$I$11</f>
        <v>0</v>
      </c>
      <c r="M20" s="52">
        <f>'Sales and Customer Acquisition '!M13*Assumptions!$I$11</f>
        <v>66750</v>
      </c>
      <c r="N20" s="52">
        <f>'Sales and Customer Acquisition '!N13*Assumptions!$I$11</f>
        <v>71200</v>
      </c>
      <c r="O20" s="52">
        <f>'Sales and Customer Acquisition '!O13*Assumptions!$I$11</f>
        <v>75650</v>
      </c>
      <c r="P20" s="52">
        <f>'Sales and Customer Acquisition '!P13*Assumptions!$I$11</f>
        <v>80100</v>
      </c>
      <c r="Q20" s="52">
        <f>'Sales and Customer Acquisition '!Q13*Assumptions!$I$11</f>
        <v>84550</v>
      </c>
      <c r="R20" s="52">
        <f>'Sales and Customer Acquisition '!R13*Assumptions!$I$11</f>
        <v>93450</v>
      </c>
      <c r="S20" s="52">
        <f>'Sales and Customer Acquisition '!S13*Assumptions!$I$11</f>
        <v>169100</v>
      </c>
      <c r="T20" s="52">
        <f>'Sales and Customer Acquisition '!T13*Assumptions!$I$11</f>
        <v>186900</v>
      </c>
      <c r="U20" s="52">
        <f>'Sales and Customer Acquisition '!U13*Assumptions!$I$11</f>
        <v>204700</v>
      </c>
      <c r="V20" s="52">
        <f>'Sales and Customer Acquisition '!V13*Assumptions!$I$11</f>
        <v>226950</v>
      </c>
      <c r="W20" s="52">
        <f>'Sales and Customer Acquisition '!W13*Assumptions!$I$11</f>
        <v>249200</v>
      </c>
      <c r="X20" s="52">
        <f>'Sales and Customer Acquisition '!X13*Assumptions!$I$11</f>
        <v>275900</v>
      </c>
      <c r="Y20" s="52">
        <f>'Sales and Customer Acquisition '!Y13*Assumptions!$I$11</f>
        <v>369350</v>
      </c>
      <c r="Z20" s="52">
        <f>'Sales and Customer Acquisition '!Z13*Assumptions!$I$11</f>
        <v>409400</v>
      </c>
      <c r="AA20" s="52">
        <f>'Sales and Customer Acquisition '!AA13*Assumptions!$I$11</f>
        <v>453900</v>
      </c>
      <c r="AB20" s="52">
        <f>'Sales and Customer Acquisition '!AB13*Assumptions!$I$11</f>
        <v>502850</v>
      </c>
      <c r="AC20" s="52">
        <f>'Sales and Customer Acquisition '!AC13*Assumptions!$I$11</f>
        <v>623000</v>
      </c>
      <c r="AD20" s="52">
        <f>'Sales and Customer Acquisition '!AD13*Assumptions!$I$11</f>
        <v>689750</v>
      </c>
      <c r="AE20" s="52">
        <f>'Sales and Customer Acquisition '!AE13*Assumptions!$I$11</f>
        <v>765400</v>
      </c>
      <c r="AF20" s="52">
        <f>'Sales and Customer Acquisition '!AF13*Assumptions!$I$11</f>
        <v>845500</v>
      </c>
      <c r="AG20" s="52">
        <f>'Sales and Customer Acquisition '!AG13*Assumptions!$I$11</f>
        <v>1001250</v>
      </c>
      <c r="AH20" s="52">
        <f>'Sales and Customer Acquisition '!AH13*Assumptions!$I$11</f>
        <v>1108050</v>
      </c>
      <c r="AI20" s="52">
        <f>'Sales and Customer Acquisition '!AI13*Assumptions!$I$11</f>
        <v>1228200</v>
      </c>
      <c r="AJ20" s="52">
        <f>'Sales and Customer Acquisition '!AJ13*Assumptions!$I$11</f>
        <v>1428450</v>
      </c>
      <c r="AK20" s="52">
        <f>'Sales and Customer Acquisition '!AK13*Assumptions!$I$11</f>
        <v>1584200</v>
      </c>
      <c r="AL20" s="52">
        <f>'Sales and Customer Acquisition '!AL13*Assumptions!$I$11</f>
        <v>1757750</v>
      </c>
    </row>
    <row r="21" spans="2:38" x14ac:dyDescent="0.2">
      <c r="B21" s="48" t="s">
        <v>106</v>
      </c>
      <c r="C21" s="52">
        <f>C15*Assumptions!$D$9</f>
        <v>0</v>
      </c>
      <c r="D21" s="52">
        <f>D15*Assumptions!$D$9</f>
        <v>0</v>
      </c>
      <c r="E21" s="52">
        <f>E15*Assumptions!$D$9</f>
        <v>0</v>
      </c>
      <c r="F21" s="52">
        <f>F15*Assumptions!$D$9</f>
        <v>0</v>
      </c>
      <c r="G21" s="52">
        <f>G15*Assumptions!$D$9</f>
        <v>0</v>
      </c>
      <c r="H21" s="52">
        <f>H15*Assumptions!$D$9</f>
        <v>0</v>
      </c>
      <c r="I21" s="52">
        <f>I15*Assumptions!$D$9</f>
        <v>0</v>
      </c>
      <c r="J21" s="52">
        <f>J15*Assumptions!$D$9</f>
        <v>0</v>
      </c>
      <c r="K21" s="52">
        <f>K15*Assumptions!$D$9</f>
        <v>0</v>
      </c>
      <c r="L21" s="52">
        <f>L15*Assumptions!$D$9</f>
        <v>0</v>
      </c>
      <c r="M21" s="52">
        <f>M15*Assumptions!$D$9</f>
        <v>15000</v>
      </c>
      <c r="N21" s="52">
        <f>N15*Assumptions!$D$9</f>
        <v>1000</v>
      </c>
      <c r="O21" s="52">
        <f>O15*Assumptions!$D$9</f>
        <v>1000</v>
      </c>
      <c r="P21" s="52">
        <f>P15*Assumptions!$D$9</f>
        <v>1000</v>
      </c>
      <c r="Q21" s="52">
        <f>Q15*Assumptions!$D$9</f>
        <v>1000</v>
      </c>
      <c r="R21" s="52">
        <f>R15*Assumptions!$D$9</f>
        <v>2000</v>
      </c>
      <c r="S21" s="52">
        <f>S15*Assumptions!$D$9</f>
        <v>17000</v>
      </c>
      <c r="T21" s="52">
        <f>T15*Assumptions!$D$9</f>
        <v>4000</v>
      </c>
      <c r="U21" s="52">
        <f>U15*Assumptions!$D$9</f>
        <v>4000</v>
      </c>
      <c r="V21" s="52">
        <f>V15*Assumptions!$D$9</f>
        <v>5000</v>
      </c>
      <c r="W21" s="52">
        <f>W15*Assumptions!$D$9</f>
        <v>5000</v>
      </c>
      <c r="X21" s="52">
        <f>X15*Assumptions!$D$9</f>
        <v>6000</v>
      </c>
      <c r="Y21" s="52">
        <f>Y15*Assumptions!$D$9</f>
        <v>21000</v>
      </c>
      <c r="Z21" s="52">
        <f>Z15*Assumptions!$D$9</f>
        <v>9000</v>
      </c>
      <c r="AA21" s="52">
        <f>AA15*Assumptions!$D$9</f>
        <v>10000</v>
      </c>
      <c r="AB21" s="52">
        <f>AB15*Assumptions!$D$9</f>
        <v>11000</v>
      </c>
      <c r="AC21" s="52">
        <f>AC15*Assumptions!$D$9</f>
        <v>27000</v>
      </c>
      <c r="AD21" s="52">
        <f>AD15*Assumptions!$D$9</f>
        <v>15000</v>
      </c>
      <c r="AE21" s="52">
        <f>AE15*Assumptions!$D$9</f>
        <v>17000</v>
      </c>
      <c r="AF21" s="52">
        <f>AF15*Assumptions!$D$9</f>
        <v>18000</v>
      </c>
      <c r="AG21" s="52">
        <f>AG15*Assumptions!$D$9</f>
        <v>35000</v>
      </c>
      <c r="AH21" s="52">
        <f>AH15*Assumptions!$D$9</f>
        <v>24000</v>
      </c>
      <c r="AI21" s="52">
        <f>AI15*Assumptions!$D$9</f>
        <v>27000</v>
      </c>
      <c r="AJ21" s="52">
        <f>AJ15*Assumptions!$D$9</f>
        <v>45000</v>
      </c>
      <c r="AK21" s="52">
        <f>AK15*Assumptions!$D$9</f>
        <v>35000</v>
      </c>
      <c r="AL21" s="52">
        <f>AL15*Assumptions!$D$9</f>
        <v>39000</v>
      </c>
    </row>
    <row r="22" spans="2:38" x14ac:dyDescent="0.2">
      <c r="B22" s="4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2:38" x14ac:dyDescent="0.2">
      <c r="B23" s="55" t="s">
        <v>75</v>
      </c>
      <c r="C23" s="13">
        <f>C15*Assumptions!$I$11</f>
        <v>0</v>
      </c>
      <c r="D23" s="13">
        <f>D15*Assumptions!$I$11</f>
        <v>0</v>
      </c>
      <c r="E23" s="13">
        <f>E15*Assumptions!$I$11</f>
        <v>0</v>
      </c>
      <c r="F23" s="13">
        <f>F15*Assumptions!$I$11</f>
        <v>0</v>
      </c>
      <c r="G23" s="13">
        <f>G15*Assumptions!$I$11</f>
        <v>0</v>
      </c>
      <c r="H23" s="13">
        <f>H15*Assumptions!$I$11</f>
        <v>0</v>
      </c>
      <c r="I23" s="13">
        <f>I15*Assumptions!$I$11</f>
        <v>0</v>
      </c>
      <c r="J23" s="13">
        <f>J15*Assumptions!$I$11</f>
        <v>0</v>
      </c>
      <c r="K23" s="13">
        <f>K15*Assumptions!$I$11</f>
        <v>0</v>
      </c>
      <c r="L23" s="13">
        <f>L15*Assumptions!$I$11</f>
        <v>0</v>
      </c>
      <c r="M23" s="13">
        <f>M15*Assumptions!$I$11</f>
        <v>66750</v>
      </c>
      <c r="N23" s="13">
        <f>N15*Assumptions!$I$11</f>
        <v>4450</v>
      </c>
      <c r="O23" s="13">
        <f>O15*Assumptions!$I$11</f>
        <v>4450</v>
      </c>
      <c r="P23" s="13">
        <f>P15*Assumptions!$I$11</f>
        <v>4450</v>
      </c>
      <c r="Q23" s="13">
        <f>Q15*Assumptions!$I$11</f>
        <v>4450</v>
      </c>
      <c r="R23" s="13">
        <f>R15*Assumptions!$I$11</f>
        <v>8900</v>
      </c>
      <c r="S23" s="13">
        <f>S15*Assumptions!$I$11</f>
        <v>75650</v>
      </c>
      <c r="T23" s="13">
        <f>T15*Assumptions!$I$11</f>
        <v>17800</v>
      </c>
      <c r="U23" s="13">
        <f>U15*Assumptions!$I$11</f>
        <v>17800</v>
      </c>
      <c r="V23" s="13">
        <f>V15*Assumptions!$I$11</f>
        <v>22250</v>
      </c>
      <c r="W23" s="13">
        <f>W15*Assumptions!$I$11</f>
        <v>22250</v>
      </c>
      <c r="X23" s="13">
        <f>X15*Assumptions!$I$11</f>
        <v>26700</v>
      </c>
      <c r="Y23" s="13">
        <f>Y15*Assumptions!$I$11</f>
        <v>93450</v>
      </c>
      <c r="Z23" s="13">
        <f>Z15*Assumptions!$I$11</f>
        <v>40050</v>
      </c>
      <c r="AA23" s="13">
        <f>AA15*Assumptions!$I$11</f>
        <v>44500</v>
      </c>
      <c r="AB23" s="13">
        <f>AB15*Assumptions!$I$11</f>
        <v>48950</v>
      </c>
      <c r="AC23" s="13">
        <f>AC15*Assumptions!$I$11</f>
        <v>120150</v>
      </c>
      <c r="AD23" s="13">
        <f>AD15*Assumptions!$I$11</f>
        <v>66750</v>
      </c>
      <c r="AE23" s="13">
        <f>AE15*Assumptions!$I$11</f>
        <v>75650</v>
      </c>
      <c r="AF23" s="13">
        <f>AF15*Assumptions!$I$11</f>
        <v>80100</v>
      </c>
      <c r="AG23" s="13">
        <f>AG15*Assumptions!$I$11</f>
        <v>155750</v>
      </c>
      <c r="AH23" s="13">
        <f>AH15*Assumptions!$I$11</f>
        <v>106800</v>
      </c>
      <c r="AI23" s="13">
        <f>AI15*Assumptions!$I$11</f>
        <v>120150</v>
      </c>
      <c r="AJ23" s="13">
        <f>AJ15*Assumptions!$I$11</f>
        <v>200250</v>
      </c>
      <c r="AK23" s="13">
        <f>AK15*Assumptions!$I$11</f>
        <v>155750</v>
      </c>
      <c r="AL23" s="13">
        <f>AL15*Assumptions!$I$11</f>
        <v>173550</v>
      </c>
    </row>
    <row r="24" spans="2:38" x14ac:dyDescent="0.2">
      <c r="B24" s="55" t="s">
        <v>80</v>
      </c>
      <c r="C24" s="13">
        <f>C25*Assumptions!$I$11</f>
        <v>0</v>
      </c>
      <c r="D24" s="13">
        <f>D25*Assumptions!$I$11</f>
        <v>0</v>
      </c>
      <c r="E24" s="13">
        <f>E25*Assumptions!$I$11</f>
        <v>0</v>
      </c>
      <c r="F24" s="13">
        <f>F25*Assumptions!$I$11</f>
        <v>0</v>
      </c>
      <c r="G24" s="13">
        <f>G25*Assumptions!$I$11</f>
        <v>0</v>
      </c>
      <c r="H24" s="13">
        <f>H25*Assumptions!$I$11</f>
        <v>0</v>
      </c>
      <c r="I24" s="13">
        <f>I25*Assumptions!$I$11</f>
        <v>0</v>
      </c>
      <c r="J24" s="13">
        <f>J25*Assumptions!$I$11</f>
        <v>0</v>
      </c>
      <c r="K24" s="13">
        <f>K25*Assumptions!$I$11</f>
        <v>0</v>
      </c>
      <c r="L24" s="13">
        <f>L25*Assumptions!$I$11</f>
        <v>0</v>
      </c>
      <c r="M24" s="13">
        <f>M25*Assumptions!$I$11</f>
        <v>0</v>
      </c>
      <c r="N24" s="13">
        <f>N25*Assumptions!$I$11</f>
        <v>66750</v>
      </c>
      <c r="O24" s="13">
        <f>O25*Assumptions!$I$11</f>
        <v>71200</v>
      </c>
      <c r="P24" s="13">
        <f>P25*Assumptions!$I$11</f>
        <v>75650</v>
      </c>
      <c r="Q24" s="13">
        <f>Q25*Assumptions!$I$11</f>
        <v>80100</v>
      </c>
      <c r="R24" s="13">
        <f>R25*Assumptions!$I$11</f>
        <v>84550</v>
      </c>
      <c r="S24" s="13">
        <f>S25*Assumptions!$I$11</f>
        <v>93450</v>
      </c>
      <c r="T24" s="13">
        <f>T25*Assumptions!$I$11</f>
        <v>169100</v>
      </c>
      <c r="U24" s="13">
        <f>U25*Assumptions!$I$11</f>
        <v>186900</v>
      </c>
      <c r="V24" s="13">
        <f>V25*Assumptions!$I$11</f>
        <v>204700</v>
      </c>
      <c r="W24" s="13">
        <f>W25*Assumptions!$I$11</f>
        <v>226950</v>
      </c>
      <c r="X24" s="13">
        <f>X25*Assumptions!$I$11</f>
        <v>249200</v>
      </c>
      <c r="Y24" s="13">
        <f>Y25*Assumptions!$I$11</f>
        <v>275900</v>
      </c>
      <c r="Z24" s="13">
        <f>Z25*Assumptions!$I$11</f>
        <v>369350</v>
      </c>
      <c r="AA24" s="13">
        <f>AA25*Assumptions!$I$11</f>
        <v>409400</v>
      </c>
      <c r="AB24" s="13">
        <f>AB25*Assumptions!$I$11</f>
        <v>453900</v>
      </c>
      <c r="AC24" s="13">
        <f>AC25*Assumptions!$I$11</f>
        <v>502850</v>
      </c>
      <c r="AD24" s="13">
        <f>AD25*Assumptions!$I$11</f>
        <v>623000</v>
      </c>
      <c r="AE24" s="13">
        <f>AE25*Assumptions!$I$11</f>
        <v>689750</v>
      </c>
      <c r="AF24" s="13">
        <f>AF25*Assumptions!$I$11</f>
        <v>765400</v>
      </c>
      <c r="AG24" s="13">
        <f>AG25*Assumptions!$I$11</f>
        <v>845500</v>
      </c>
      <c r="AH24" s="13">
        <f>AH25*Assumptions!$I$11</f>
        <v>1001250</v>
      </c>
      <c r="AI24" s="13">
        <f>AI25*Assumptions!$I$11</f>
        <v>1108050</v>
      </c>
      <c r="AJ24" s="13">
        <f>AJ25*Assumptions!$I$11</f>
        <v>1228200</v>
      </c>
      <c r="AK24" s="13">
        <f>AK25*Assumptions!$I$11</f>
        <v>1428450</v>
      </c>
      <c r="AL24" s="13">
        <f>AL25*Assumptions!$I$11</f>
        <v>1584200</v>
      </c>
    </row>
    <row r="25" spans="2:38" x14ac:dyDescent="0.2">
      <c r="B25" s="55" t="s">
        <v>79</v>
      </c>
      <c r="C25">
        <f t="shared" ref="C25:AL25" si="7">IFERROR(B13-C14,0)</f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7"/>
        <v>0</v>
      </c>
      <c r="I25">
        <f t="shared" si="7"/>
        <v>0</v>
      </c>
      <c r="J25">
        <f t="shared" si="7"/>
        <v>0</v>
      </c>
      <c r="K25">
        <f t="shared" si="7"/>
        <v>0</v>
      </c>
      <c r="L25">
        <f t="shared" si="7"/>
        <v>0</v>
      </c>
      <c r="M25">
        <f t="shared" si="7"/>
        <v>0</v>
      </c>
      <c r="N25">
        <f t="shared" si="7"/>
        <v>15</v>
      </c>
      <c r="O25">
        <f t="shared" si="7"/>
        <v>16</v>
      </c>
      <c r="P25">
        <f t="shared" si="7"/>
        <v>17</v>
      </c>
      <c r="Q25">
        <f t="shared" si="7"/>
        <v>18</v>
      </c>
      <c r="R25">
        <f t="shared" si="7"/>
        <v>19</v>
      </c>
      <c r="S25">
        <f t="shared" si="7"/>
        <v>21</v>
      </c>
      <c r="T25">
        <f t="shared" si="7"/>
        <v>38</v>
      </c>
      <c r="U25">
        <f t="shared" si="7"/>
        <v>42</v>
      </c>
      <c r="V25">
        <f t="shared" si="7"/>
        <v>46</v>
      </c>
      <c r="W25">
        <f t="shared" si="7"/>
        <v>51</v>
      </c>
      <c r="X25">
        <f t="shared" si="7"/>
        <v>56</v>
      </c>
      <c r="Y25">
        <f t="shared" si="7"/>
        <v>62</v>
      </c>
      <c r="Z25">
        <f t="shared" si="7"/>
        <v>83</v>
      </c>
      <c r="AA25">
        <f t="shared" si="7"/>
        <v>92</v>
      </c>
      <c r="AB25">
        <f t="shared" si="7"/>
        <v>102</v>
      </c>
      <c r="AC25">
        <f t="shared" si="7"/>
        <v>113</v>
      </c>
      <c r="AD25">
        <f t="shared" si="7"/>
        <v>140</v>
      </c>
      <c r="AE25">
        <f t="shared" si="7"/>
        <v>155</v>
      </c>
      <c r="AF25">
        <f t="shared" si="7"/>
        <v>172</v>
      </c>
      <c r="AG25">
        <f t="shared" si="7"/>
        <v>190</v>
      </c>
      <c r="AH25">
        <f t="shared" si="7"/>
        <v>225</v>
      </c>
      <c r="AI25">
        <f t="shared" si="7"/>
        <v>249</v>
      </c>
      <c r="AJ25">
        <f t="shared" si="7"/>
        <v>276</v>
      </c>
      <c r="AK25">
        <f t="shared" si="7"/>
        <v>321</v>
      </c>
      <c r="AL25">
        <f t="shared" si="7"/>
        <v>356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DF22-1775-CD44-BB76-E90199891615}">
  <dimension ref="B2:AL19"/>
  <sheetViews>
    <sheetView workbookViewId="0">
      <pane xSplit="2" topLeftCell="C1" activePane="topRight" state="frozen"/>
      <selection pane="topRight" activeCell="C10" sqref="C10"/>
    </sheetView>
  </sheetViews>
  <sheetFormatPr baseColWidth="10" defaultRowHeight="15" x14ac:dyDescent="0.2"/>
  <cols>
    <col min="2" max="2" width="38" bestFit="1" customWidth="1"/>
    <col min="3" max="12" width="11" bestFit="1" customWidth="1"/>
    <col min="13" max="38" width="11.83203125" bestFit="1" customWidth="1"/>
  </cols>
  <sheetData>
    <row r="2" spans="2:38" x14ac:dyDescent="0.2">
      <c r="B2" s="10" t="s">
        <v>196</v>
      </c>
    </row>
    <row r="4" spans="2:38" x14ac:dyDescent="0.2">
      <c r="B4" s="42" t="s">
        <v>193</v>
      </c>
      <c r="C4" s="43" t="s">
        <v>22</v>
      </c>
      <c r="D4" s="43" t="s">
        <v>23</v>
      </c>
      <c r="E4" s="43" t="s">
        <v>24</v>
      </c>
      <c r="F4" s="43" t="s">
        <v>61</v>
      </c>
      <c r="G4" s="43" t="s">
        <v>25</v>
      </c>
      <c r="H4" s="43" t="s">
        <v>26</v>
      </c>
      <c r="I4" s="43" t="s">
        <v>27</v>
      </c>
      <c r="J4" s="43" t="s">
        <v>28</v>
      </c>
      <c r="K4" s="43" t="s">
        <v>29</v>
      </c>
      <c r="L4" s="43" t="s">
        <v>30</v>
      </c>
      <c r="M4" s="43" t="s">
        <v>31</v>
      </c>
      <c r="N4" s="43" t="s">
        <v>32</v>
      </c>
      <c r="O4" s="43" t="s">
        <v>33</v>
      </c>
      <c r="P4" s="43" t="s">
        <v>34</v>
      </c>
      <c r="Q4" s="43" t="s">
        <v>35</v>
      </c>
      <c r="R4" s="43" t="s">
        <v>36</v>
      </c>
      <c r="S4" s="43" t="s">
        <v>37</v>
      </c>
      <c r="T4" s="43" t="s">
        <v>38</v>
      </c>
      <c r="U4" s="43" t="s">
        <v>39</v>
      </c>
      <c r="V4" s="43" t="s">
        <v>40</v>
      </c>
      <c r="W4" s="43" t="s">
        <v>41</v>
      </c>
      <c r="X4" s="43" t="s">
        <v>42</v>
      </c>
      <c r="Y4" s="43" t="s">
        <v>43</v>
      </c>
      <c r="Z4" s="43" t="s">
        <v>44</v>
      </c>
      <c r="AA4" s="43" t="s">
        <v>45</v>
      </c>
      <c r="AB4" s="43" t="s">
        <v>46</v>
      </c>
      <c r="AC4" s="43" t="s">
        <v>47</v>
      </c>
      <c r="AD4" s="43" t="s">
        <v>48</v>
      </c>
      <c r="AE4" s="43" t="s">
        <v>49</v>
      </c>
      <c r="AF4" s="43" t="s">
        <v>50</v>
      </c>
      <c r="AG4" s="43" t="s">
        <v>51</v>
      </c>
      <c r="AH4" s="43" t="s">
        <v>52</v>
      </c>
      <c r="AI4" s="43" t="s">
        <v>53</v>
      </c>
      <c r="AJ4" s="43" t="s">
        <v>54</v>
      </c>
      <c r="AK4" s="43" t="s">
        <v>55</v>
      </c>
      <c r="AL4" s="43" t="s">
        <v>56</v>
      </c>
    </row>
    <row r="5" spans="2:38" x14ac:dyDescent="0.2">
      <c r="B5" s="4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2:38" x14ac:dyDescent="0.2">
      <c r="B6" s="55" t="s">
        <v>124</v>
      </c>
      <c r="C6" s="10">
        <f>'Sales and Customer Acquisition '!C9</f>
        <v>0</v>
      </c>
      <c r="D6" s="10">
        <f>'Sales and Customer Acquisition '!D9</f>
        <v>0</v>
      </c>
      <c r="E6" s="10">
        <f>'Sales and Customer Acquisition '!E9</f>
        <v>0</v>
      </c>
      <c r="F6" s="10">
        <f>'Sales and Customer Acquisition '!F9</f>
        <v>0</v>
      </c>
      <c r="G6" s="10">
        <f>'Sales and Customer Acquisition '!G9</f>
        <v>0</v>
      </c>
      <c r="H6" s="10">
        <f>'Sales and Customer Acquisition '!H9</f>
        <v>0</v>
      </c>
      <c r="I6" s="10">
        <f>'Sales and Customer Acquisition '!I9</f>
        <v>0</v>
      </c>
      <c r="J6" s="10">
        <f>'Sales and Customer Acquisition '!J9</f>
        <v>0</v>
      </c>
      <c r="K6" s="10">
        <f>'Sales and Customer Acquisition '!K9</f>
        <v>0</v>
      </c>
      <c r="L6" s="10">
        <f>'Sales and Customer Acquisition '!L9</f>
        <v>0</v>
      </c>
      <c r="M6" s="10">
        <f>'Sales and Customer Acquisition '!M9</f>
        <v>1</v>
      </c>
      <c r="N6" s="10">
        <f>'Sales and Customer Acquisition '!N9</f>
        <v>1</v>
      </c>
      <c r="O6" s="10">
        <f>'Sales and Customer Acquisition '!O9</f>
        <v>1</v>
      </c>
      <c r="P6" s="10">
        <f>'Sales and Customer Acquisition '!P9</f>
        <v>1</v>
      </c>
      <c r="Q6" s="10">
        <f>'Sales and Customer Acquisition '!Q9</f>
        <v>1</v>
      </c>
      <c r="R6" s="10">
        <f>'Sales and Customer Acquisition '!R9</f>
        <v>1</v>
      </c>
      <c r="S6" s="10">
        <f>'Sales and Customer Acquisition '!S9</f>
        <v>2</v>
      </c>
      <c r="T6" s="10">
        <f>'Sales and Customer Acquisition '!T9</f>
        <v>2</v>
      </c>
      <c r="U6" s="10">
        <f>'Sales and Customer Acquisition '!U9</f>
        <v>2</v>
      </c>
      <c r="V6" s="10">
        <f>'Sales and Customer Acquisition '!V9</f>
        <v>2</v>
      </c>
      <c r="W6" s="10">
        <f>'Sales and Customer Acquisition '!W9</f>
        <v>2</v>
      </c>
      <c r="X6" s="10">
        <f>'Sales and Customer Acquisition '!X9</f>
        <v>2</v>
      </c>
      <c r="Y6" s="10">
        <f>'Sales and Customer Acquisition '!Y9</f>
        <v>3</v>
      </c>
      <c r="Z6" s="10">
        <f>'Sales and Customer Acquisition '!Z9</f>
        <v>3</v>
      </c>
      <c r="AA6" s="10">
        <f>'Sales and Customer Acquisition '!AA9</f>
        <v>3</v>
      </c>
      <c r="AB6" s="10">
        <f>'Sales and Customer Acquisition '!AB9</f>
        <v>3</v>
      </c>
      <c r="AC6" s="10">
        <f>'Sales and Customer Acquisition '!AC9</f>
        <v>4</v>
      </c>
      <c r="AD6" s="10">
        <f>'Sales and Customer Acquisition '!AD9</f>
        <v>4</v>
      </c>
      <c r="AE6" s="10">
        <f>'Sales and Customer Acquisition '!AE9</f>
        <v>4</v>
      </c>
      <c r="AF6" s="10">
        <f>'Sales and Customer Acquisition '!AF9</f>
        <v>4</v>
      </c>
      <c r="AG6" s="10">
        <f>'Sales and Customer Acquisition '!AG9</f>
        <v>5</v>
      </c>
      <c r="AH6" s="10">
        <f>'Sales and Customer Acquisition '!AH9</f>
        <v>5</v>
      </c>
      <c r="AI6" s="10">
        <f>'Sales and Customer Acquisition '!AI9</f>
        <v>5</v>
      </c>
      <c r="AJ6" s="10">
        <f>'Sales and Customer Acquisition '!AJ9</f>
        <v>6</v>
      </c>
      <c r="AK6" s="10">
        <f>'Sales and Customer Acquisition '!AK9</f>
        <v>6</v>
      </c>
      <c r="AL6" s="10">
        <f>'Sales and Customer Acquisition '!AL9</f>
        <v>6</v>
      </c>
    </row>
    <row r="7" spans="2:38" x14ac:dyDescent="0.2">
      <c r="B7" s="55" t="s">
        <v>66</v>
      </c>
      <c r="C7" s="10">
        <f>'Sales and Customer Acquisition '!C13</f>
        <v>0</v>
      </c>
      <c r="D7" s="10">
        <f>'Sales and Customer Acquisition '!D13</f>
        <v>0</v>
      </c>
      <c r="E7" s="10">
        <f>'Sales and Customer Acquisition '!E13</f>
        <v>0</v>
      </c>
      <c r="F7" s="10">
        <f>'Sales and Customer Acquisition '!F13</f>
        <v>0</v>
      </c>
      <c r="G7" s="10">
        <f>'Sales and Customer Acquisition '!G13</f>
        <v>0</v>
      </c>
      <c r="H7" s="10">
        <f>'Sales and Customer Acquisition '!H13</f>
        <v>0</v>
      </c>
      <c r="I7" s="10">
        <f>'Sales and Customer Acquisition '!I13</f>
        <v>0</v>
      </c>
      <c r="J7" s="10">
        <f>'Sales and Customer Acquisition '!J13</f>
        <v>0</v>
      </c>
      <c r="K7" s="10">
        <f>'Sales and Customer Acquisition '!K13</f>
        <v>0</v>
      </c>
      <c r="L7" s="10">
        <f>'Sales and Customer Acquisition '!L13</f>
        <v>0</v>
      </c>
      <c r="M7" s="10">
        <f>'Sales and Customer Acquisition '!M13</f>
        <v>15</v>
      </c>
      <c r="N7" s="10">
        <f>'Sales and Customer Acquisition '!N13</f>
        <v>16</v>
      </c>
      <c r="O7" s="10">
        <f>'Sales and Customer Acquisition '!O13</f>
        <v>17</v>
      </c>
      <c r="P7" s="10">
        <f>'Sales and Customer Acquisition '!P13</f>
        <v>18</v>
      </c>
      <c r="Q7" s="10">
        <f>'Sales and Customer Acquisition '!Q13</f>
        <v>19</v>
      </c>
      <c r="R7" s="10">
        <f>'Sales and Customer Acquisition '!R13</f>
        <v>21</v>
      </c>
      <c r="S7" s="10">
        <f>'Sales and Customer Acquisition '!S13</f>
        <v>38</v>
      </c>
      <c r="T7" s="10">
        <f>'Sales and Customer Acquisition '!T13</f>
        <v>42</v>
      </c>
      <c r="U7" s="10">
        <f>'Sales and Customer Acquisition '!U13</f>
        <v>46</v>
      </c>
      <c r="V7" s="10">
        <f>'Sales and Customer Acquisition '!V13</f>
        <v>51</v>
      </c>
      <c r="W7" s="10">
        <f>'Sales and Customer Acquisition '!W13</f>
        <v>56</v>
      </c>
      <c r="X7" s="10">
        <f>'Sales and Customer Acquisition '!X13</f>
        <v>62</v>
      </c>
      <c r="Y7" s="10">
        <f>'Sales and Customer Acquisition '!Y13</f>
        <v>83</v>
      </c>
      <c r="Z7" s="10">
        <f>'Sales and Customer Acquisition '!Z13</f>
        <v>92</v>
      </c>
      <c r="AA7" s="10">
        <f>'Sales and Customer Acquisition '!AA13</f>
        <v>102</v>
      </c>
      <c r="AB7" s="10">
        <f>'Sales and Customer Acquisition '!AB13</f>
        <v>113</v>
      </c>
      <c r="AC7" s="10">
        <f>'Sales and Customer Acquisition '!AC13</f>
        <v>140</v>
      </c>
      <c r="AD7" s="10">
        <f>'Sales and Customer Acquisition '!AD13</f>
        <v>155</v>
      </c>
      <c r="AE7" s="10">
        <f>'Sales and Customer Acquisition '!AE13</f>
        <v>172</v>
      </c>
      <c r="AF7" s="10">
        <f>'Sales and Customer Acquisition '!AF13</f>
        <v>190</v>
      </c>
      <c r="AG7" s="10">
        <f>'Sales and Customer Acquisition '!AG13</f>
        <v>225</v>
      </c>
      <c r="AH7" s="10">
        <f>'Sales and Customer Acquisition '!AH13</f>
        <v>249</v>
      </c>
      <c r="AI7" s="10">
        <f>'Sales and Customer Acquisition '!AI13</f>
        <v>276</v>
      </c>
      <c r="AJ7" s="10">
        <f>'Sales and Customer Acquisition '!AJ13</f>
        <v>321</v>
      </c>
      <c r="AK7" s="10">
        <f>'Sales and Customer Acquisition '!AK13</f>
        <v>356</v>
      </c>
      <c r="AL7" s="10">
        <f>'Sales and Customer Acquisition '!AL13</f>
        <v>395</v>
      </c>
    </row>
    <row r="8" spans="2:38" x14ac:dyDescent="0.2">
      <c r="B8" s="55" t="s">
        <v>126</v>
      </c>
      <c r="C8" s="10">
        <f>'Sales and Customer Acquisition '!C15</f>
        <v>0</v>
      </c>
      <c r="D8" s="10">
        <f>'Sales and Customer Acquisition '!D15</f>
        <v>0</v>
      </c>
      <c r="E8" s="10">
        <f>'Sales and Customer Acquisition '!E15</f>
        <v>0</v>
      </c>
      <c r="F8" s="10">
        <f>'Sales and Customer Acquisition '!F15</f>
        <v>0</v>
      </c>
      <c r="G8" s="10">
        <f>'Sales and Customer Acquisition '!G15</f>
        <v>0</v>
      </c>
      <c r="H8" s="10">
        <f>'Sales and Customer Acquisition '!H15</f>
        <v>0</v>
      </c>
      <c r="I8" s="10">
        <f>'Sales and Customer Acquisition '!I15</f>
        <v>0</v>
      </c>
      <c r="J8" s="10">
        <f>'Sales and Customer Acquisition '!J15</f>
        <v>0</v>
      </c>
      <c r="K8" s="10">
        <f>'Sales and Customer Acquisition '!K15</f>
        <v>0</v>
      </c>
      <c r="L8" s="10">
        <f>'Sales and Customer Acquisition '!L15</f>
        <v>0</v>
      </c>
      <c r="M8" s="10">
        <f>'Sales and Customer Acquisition '!M15</f>
        <v>15</v>
      </c>
      <c r="N8" s="10">
        <f>'Sales and Customer Acquisition '!N15</f>
        <v>1</v>
      </c>
      <c r="O8" s="10">
        <f>'Sales and Customer Acquisition '!O15</f>
        <v>1</v>
      </c>
      <c r="P8" s="10">
        <f>'Sales and Customer Acquisition '!P15</f>
        <v>1</v>
      </c>
      <c r="Q8" s="10">
        <f>'Sales and Customer Acquisition '!Q15</f>
        <v>1</v>
      </c>
      <c r="R8" s="10">
        <f>'Sales and Customer Acquisition '!R15</f>
        <v>2</v>
      </c>
      <c r="S8" s="10">
        <f>'Sales and Customer Acquisition '!S15</f>
        <v>17</v>
      </c>
      <c r="T8" s="10">
        <f>'Sales and Customer Acquisition '!T15</f>
        <v>4</v>
      </c>
      <c r="U8" s="10">
        <f>'Sales and Customer Acquisition '!U15</f>
        <v>4</v>
      </c>
      <c r="V8" s="10">
        <f>'Sales and Customer Acquisition '!V15</f>
        <v>5</v>
      </c>
      <c r="W8" s="10">
        <f>'Sales and Customer Acquisition '!W15</f>
        <v>5</v>
      </c>
      <c r="X8" s="10">
        <f>'Sales and Customer Acquisition '!X15</f>
        <v>6</v>
      </c>
      <c r="Y8" s="10">
        <f>'Sales and Customer Acquisition '!Y15</f>
        <v>21</v>
      </c>
      <c r="Z8" s="10">
        <f>'Sales and Customer Acquisition '!Z15</f>
        <v>9</v>
      </c>
      <c r="AA8" s="10">
        <f>'Sales and Customer Acquisition '!AA15</f>
        <v>10</v>
      </c>
      <c r="AB8" s="10">
        <f>'Sales and Customer Acquisition '!AB15</f>
        <v>11</v>
      </c>
      <c r="AC8" s="10">
        <f>'Sales and Customer Acquisition '!AC15</f>
        <v>27</v>
      </c>
      <c r="AD8" s="10">
        <f>'Sales and Customer Acquisition '!AD15</f>
        <v>15</v>
      </c>
      <c r="AE8" s="10">
        <f>'Sales and Customer Acquisition '!AE15</f>
        <v>17</v>
      </c>
      <c r="AF8" s="10">
        <f>'Sales and Customer Acquisition '!AF15</f>
        <v>18</v>
      </c>
      <c r="AG8" s="10">
        <f>'Sales and Customer Acquisition '!AG15</f>
        <v>35</v>
      </c>
      <c r="AH8" s="10">
        <f>'Sales and Customer Acquisition '!AH15</f>
        <v>24</v>
      </c>
      <c r="AI8" s="10">
        <f>'Sales and Customer Acquisition '!AI15</f>
        <v>27</v>
      </c>
      <c r="AJ8" s="10">
        <f>'Sales and Customer Acquisition '!AJ15</f>
        <v>45</v>
      </c>
      <c r="AK8" s="10">
        <f>'Sales and Customer Acquisition '!AK15</f>
        <v>35</v>
      </c>
      <c r="AL8" s="10">
        <f>'Sales and Customer Acquisition '!AL15</f>
        <v>39</v>
      </c>
    </row>
    <row r="9" spans="2:38" x14ac:dyDescent="0.2">
      <c r="B9" s="60"/>
    </row>
    <row r="10" spans="2:38" x14ac:dyDescent="0.2">
      <c r="B10" s="61" t="s">
        <v>120</v>
      </c>
      <c r="C10" s="13">
        <f>MAX(5000, C7*Assumptions!$I$19)</f>
        <v>5000</v>
      </c>
      <c r="D10" s="13">
        <f>MAX(5000, D7*Assumptions!$I$19)</f>
        <v>5000</v>
      </c>
      <c r="E10" s="13">
        <f>MAX(5000, E7*Assumptions!$I$19)</f>
        <v>5000</v>
      </c>
      <c r="F10" s="13">
        <f>MAX(5000, F7*Assumptions!$I$19)</f>
        <v>5000</v>
      </c>
      <c r="G10" s="13">
        <f>MAX(5000, G7*Assumptions!$I$19)</f>
        <v>5000</v>
      </c>
      <c r="H10" s="13">
        <f>MAX(5000, H7*Assumptions!$I$19)</f>
        <v>5000</v>
      </c>
      <c r="I10" s="13">
        <f>MAX(5000, I7*Assumptions!$I$19)</f>
        <v>5000</v>
      </c>
      <c r="J10" s="13">
        <f>MAX(5000, J7*Assumptions!$I$19)</f>
        <v>5000</v>
      </c>
      <c r="K10" s="13">
        <f>MAX(5000, K7*Assumptions!$I$19)</f>
        <v>5000</v>
      </c>
      <c r="L10" s="13">
        <f>MAX(5000, L7*Assumptions!$I$19)</f>
        <v>5000</v>
      </c>
      <c r="M10" s="13">
        <f>MAX(5000, M7*Assumptions!$I$19)</f>
        <v>7500</v>
      </c>
      <c r="N10" s="13">
        <f>MAX(5000, N7*Assumptions!$I$19)</f>
        <v>8000</v>
      </c>
      <c r="O10" s="13">
        <f>MAX(5000, O7*Assumptions!$I$19)</f>
        <v>8500</v>
      </c>
      <c r="P10" s="13">
        <f>MAX(5000, P7*Assumptions!$I$19)</f>
        <v>9000</v>
      </c>
      <c r="Q10" s="13">
        <f>MAX(5000, Q7*Assumptions!$I$19)</f>
        <v>9500</v>
      </c>
      <c r="R10" s="13">
        <f>MAX(5000, R7*Assumptions!$I$19)</f>
        <v>10500</v>
      </c>
      <c r="S10" s="13">
        <f>MAX(5000, S7*Assumptions!$I$19)</f>
        <v>19000</v>
      </c>
      <c r="T10" s="13">
        <f>MAX(5000, T7*Assumptions!$I$19)</f>
        <v>21000</v>
      </c>
      <c r="U10" s="13">
        <f>MAX(5000, U7*Assumptions!$I$19)</f>
        <v>23000</v>
      </c>
      <c r="V10" s="13">
        <f>MAX(5000, V7*Assumptions!$I$19)</f>
        <v>25500</v>
      </c>
      <c r="W10" s="13">
        <f>MAX(5000, W7*Assumptions!$I$19)</f>
        <v>28000</v>
      </c>
      <c r="X10" s="13">
        <f>MAX(5000, X7*Assumptions!$I$19)</f>
        <v>31000</v>
      </c>
      <c r="Y10" s="13">
        <f>MAX(5000, Y7*Assumptions!$I$19)</f>
        <v>41500</v>
      </c>
      <c r="Z10" s="13">
        <f>MAX(5000, Z7*Assumptions!$I$19)</f>
        <v>46000</v>
      </c>
      <c r="AA10" s="13">
        <f>MAX(5000, AA7*Assumptions!$I$19)</f>
        <v>51000</v>
      </c>
      <c r="AB10" s="13">
        <f>MAX(5000, AB7*Assumptions!$I$19)</f>
        <v>56500</v>
      </c>
      <c r="AC10" s="13">
        <f>MAX(5000, AC7*Assumptions!$I$19)</f>
        <v>70000</v>
      </c>
      <c r="AD10" s="13">
        <f>MAX(5000, AD7*Assumptions!$I$19)</f>
        <v>77500</v>
      </c>
      <c r="AE10" s="13">
        <f>MAX(5000, AE7*Assumptions!$I$19)</f>
        <v>86000</v>
      </c>
      <c r="AF10" s="13">
        <f>MAX(5000, AF7*Assumptions!$I$19)</f>
        <v>95000</v>
      </c>
      <c r="AG10" s="13">
        <f>MAX(5000, AG7*Assumptions!$I$19)</f>
        <v>112500</v>
      </c>
      <c r="AH10" s="13">
        <f>MAX(5000, AH7*Assumptions!$I$19)</f>
        <v>124500</v>
      </c>
      <c r="AI10" s="13">
        <f>MAX(5000, AI7*Assumptions!$I$19)</f>
        <v>138000</v>
      </c>
      <c r="AJ10" s="13">
        <f>MAX(5000, AJ7*Assumptions!$I$19)</f>
        <v>160500</v>
      </c>
      <c r="AK10" s="13">
        <f>MAX(5000, AK7*Assumptions!$I$19)</f>
        <v>178000</v>
      </c>
      <c r="AL10" s="13">
        <f>MAX(5000, AL7*Assumptions!$I$19)</f>
        <v>197500</v>
      </c>
    </row>
    <row r="11" spans="2:38" x14ac:dyDescent="0.2">
      <c r="B11" s="60"/>
    </row>
    <row r="12" spans="2:38" x14ac:dyDescent="0.2">
      <c r="B12" s="55" t="s">
        <v>125</v>
      </c>
      <c r="C12">
        <f>MAX(ROUNDUP(COGS!C8/Assumptions!$I$13,0),B12,1)</f>
        <v>1</v>
      </c>
      <c r="D12">
        <f>MAX(ROUNDUP(COGS!D8/Assumptions!$I$13,0),C12,1)</f>
        <v>1</v>
      </c>
      <c r="E12">
        <f>MAX(ROUNDUP(COGS!E8/Assumptions!$I$13,0),D12,1)</f>
        <v>1</v>
      </c>
      <c r="F12">
        <f>MAX(ROUNDUP(COGS!F8/Assumptions!$I$13,0),E12,1)</f>
        <v>1</v>
      </c>
      <c r="G12">
        <f>MAX(ROUNDUP(COGS!G8/Assumptions!$I$13,0),F12,1)</f>
        <v>1</v>
      </c>
      <c r="H12">
        <f>MAX(ROUNDUP(COGS!H8/Assumptions!$I$13,0),G12,1)</f>
        <v>1</v>
      </c>
      <c r="I12">
        <f>MAX(ROUNDUP(COGS!I8/Assumptions!$I$13,0),H12,1)</f>
        <v>1</v>
      </c>
      <c r="J12">
        <f>MAX(ROUNDUP(COGS!J8/Assumptions!$I$13,0),I12,1)</f>
        <v>1</v>
      </c>
      <c r="K12">
        <f>MAX(ROUNDUP(COGS!K8/Assumptions!$I$13,0),J12,1)</f>
        <v>1</v>
      </c>
      <c r="L12">
        <f>MAX(ROUNDUP(COGS!L8/Assumptions!$I$13,0),K12,1)</f>
        <v>1</v>
      </c>
      <c r="M12">
        <f>MAX(ROUNDUP(COGS!M8/Assumptions!$I$13,0),L12,1)</f>
        <v>2</v>
      </c>
      <c r="N12">
        <f>MAX(ROUNDUP(COGS!N8/Assumptions!$I$13,0),M12,1)</f>
        <v>2</v>
      </c>
      <c r="O12">
        <f>MAX(ROUNDUP(COGS!O8/Assumptions!$I$13,0),N12,1)</f>
        <v>2</v>
      </c>
      <c r="P12">
        <f>MAX(ROUNDUP(COGS!P8/Assumptions!$I$13,0),O12,1)</f>
        <v>2</v>
      </c>
      <c r="Q12">
        <f>MAX(ROUNDUP(COGS!Q8/Assumptions!$I$13,0),P12,1)</f>
        <v>2</v>
      </c>
      <c r="R12">
        <f>MAX(ROUNDUP(COGS!R8/Assumptions!$I$13,0),Q12,1)</f>
        <v>2</v>
      </c>
      <c r="S12">
        <f>MAX(ROUNDUP(COGS!S8/Assumptions!$I$13,0),R12,1)</f>
        <v>3</v>
      </c>
      <c r="T12">
        <f>MAX(ROUNDUP(COGS!T8/Assumptions!$I$13,0),S12,1)</f>
        <v>3</v>
      </c>
      <c r="U12">
        <f>MAX(ROUNDUP(COGS!U8/Assumptions!$I$13,0),T12,1)</f>
        <v>3</v>
      </c>
      <c r="V12">
        <f>MAX(ROUNDUP(COGS!V8/Assumptions!$I$13,0),U12,1)</f>
        <v>3</v>
      </c>
      <c r="W12">
        <f>MAX(ROUNDUP(COGS!W8/Assumptions!$I$13,0),V12,1)</f>
        <v>3</v>
      </c>
      <c r="X12">
        <f>MAX(ROUNDUP(COGS!X8/Assumptions!$I$13,0),W12,1)</f>
        <v>3</v>
      </c>
      <c r="Y12">
        <f>MAX(ROUNDUP(COGS!Y8/Assumptions!$I$13,0),X12,1)</f>
        <v>3</v>
      </c>
      <c r="Z12">
        <f>MAX(ROUNDUP(COGS!Z8/Assumptions!$I$13,0),Y12,1)</f>
        <v>3</v>
      </c>
      <c r="AA12">
        <f>MAX(ROUNDUP(COGS!AA8/Assumptions!$I$13,0),Z12,1)</f>
        <v>3</v>
      </c>
      <c r="AB12">
        <f>MAX(ROUNDUP(COGS!AB8/Assumptions!$I$13,0),AA12,1)</f>
        <v>3</v>
      </c>
      <c r="AC12">
        <f>MAX(ROUNDUP(COGS!AC8/Assumptions!$I$13,0),AB12,1)</f>
        <v>4</v>
      </c>
      <c r="AD12">
        <f>MAX(ROUNDUP(COGS!AD8/Assumptions!$I$13,0),AC12,1)</f>
        <v>4</v>
      </c>
      <c r="AE12">
        <f>MAX(ROUNDUP(COGS!AE8/Assumptions!$I$13,0),AD12,1)</f>
        <v>4</v>
      </c>
      <c r="AF12">
        <f>MAX(ROUNDUP(COGS!AF8/Assumptions!$I$13,0),AE12,1)</f>
        <v>4</v>
      </c>
      <c r="AG12">
        <f>MAX(ROUNDUP(COGS!AG8/Assumptions!$I$13,0),AF12,1)</f>
        <v>5</v>
      </c>
      <c r="AH12">
        <f>MAX(ROUNDUP(COGS!AH8/Assumptions!$I$13,0),AG12,1)</f>
        <v>5</v>
      </c>
      <c r="AI12">
        <f>MAX(ROUNDUP(COGS!AI8/Assumptions!$I$13,0),AH12,1)</f>
        <v>5</v>
      </c>
      <c r="AJ12">
        <f>MAX(ROUNDUP(COGS!AJ8/Assumptions!$I$13,0),AI12,1)</f>
        <v>6</v>
      </c>
      <c r="AK12">
        <f>MAX(ROUNDUP(COGS!AK8/Assumptions!$I$13,0),AJ12,1)</f>
        <v>6</v>
      </c>
      <c r="AL12">
        <f>MAX(ROUNDUP(COGS!AL8/Assumptions!$I$13,0),AK12,1)</f>
        <v>6</v>
      </c>
    </row>
    <row r="13" spans="2:38" x14ac:dyDescent="0.2">
      <c r="B13" s="55" t="s">
        <v>127</v>
      </c>
      <c r="C13" s="13">
        <f>C12*Assumptions!$I$15</f>
        <v>5000</v>
      </c>
      <c r="D13" s="13">
        <f>D12*Assumptions!$I$15</f>
        <v>5000</v>
      </c>
      <c r="E13" s="13">
        <f>E12*Assumptions!$I$15</f>
        <v>5000</v>
      </c>
      <c r="F13" s="13">
        <f>F12*Assumptions!$I$15</f>
        <v>5000</v>
      </c>
      <c r="G13" s="13">
        <f>G12*Assumptions!$I$15</f>
        <v>5000</v>
      </c>
      <c r="H13" s="13">
        <f>H12*Assumptions!$I$15</f>
        <v>5000</v>
      </c>
      <c r="I13" s="13">
        <f>I12*Assumptions!$I$15</f>
        <v>5000</v>
      </c>
      <c r="J13" s="13">
        <f>J12*Assumptions!$I$15</f>
        <v>5000</v>
      </c>
      <c r="K13" s="13">
        <f>K12*Assumptions!$I$15</f>
        <v>5000</v>
      </c>
      <c r="L13" s="13">
        <f>L12*Assumptions!$I$15</f>
        <v>5000</v>
      </c>
      <c r="M13" s="13">
        <f>M12*Assumptions!$I$15</f>
        <v>10000</v>
      </c>
      <c r="N13" s="13">
        <f>N12*Assumptions!$I$15</f>
        <v>10000</v>
      </c>
      <c r="O13" s="13">
        <f>O12*Assumptions!$I$15</f>
        <v>10000</v>
      </c>
      <c r="P13" s="13">
        <f>P12*Assumptions!$I$15</f>
        <v>10000</v>
      </c>
      <c r="Q13" s="13">
        <f>Q12*Assumptions!$I$15</f>
        <v>10000</v>
      </c>
      <c r="R13" s="13">
        <f>R12*Assumptions!$I$15</f>
        <v>10000</v>
      </c>
      <c r="S13" s="13">
        <f>S12*Assumptions!$I$15</f>
        <v>15000</v>
      </c>
      <c r="T13" s="13">
        <f>T12*Assumptions!$I$15</f>
        <v>15000</v>
      </c>
      <c r="U13" s="13">
        <f>U12*Assumptions!$I$15</f>
        <v>15000</v>
      </c>
      <c r="V13" s="13">
        <f>V12*Assumptions!$I$15</f>
        <v>15000</v>
      </c>
      <c r="W13" s="13">
        <f>W12*Assumptions!$I$15</f>
        <v>15000</v>
      </c>
      <c r="X13" s="13">
        <f>X12*Assumptions!$I$15</f>
        <v>15000</v>
      </c>
      <c r="Y13" s="13">
        <f>Y12*Assumptions!$I$15</f>
        <v>15000</v>
      </c>
      <c r="Z13" s="13">
        <f>Z12*Assumptions!$I$15</f>
        <v>15000</v>
      </c>
      <c r="AA13" s="13">
        <f>AA12*Assumptions!$I$15</f>
        <v>15000</v>
      </c>
      <c r="AB13" s="13">
        <f>AB12*Assumptions!$I$15</f>
        <v>15000</v>
      </c>
      <c r="AC13" s="13">
        <f>AC12*Assumptions!$I$15</f>
        <v>20000</v>
      </c>
      <c r="AD13" s="13">
        <f>AD12*Assumptions!$I$15</f>
        <v>20000</v>
      </c>
      <c r="AE13" s="13">
        <f>AE12*Assumptions!$I$15</f>
        <v>20000</v>
      </c>
      <c r="AF13" s="13">
        <f>AF12*Assumptions!$I$15</f>
        <v>20000</v>
      </c>
      <c r="AG13" s="13">
        <f>AG12*Assumptions!$I$15</f>
        <v>25000</v>
      </c>
      <c r="AH13" s="13">
        <f>AH12*Assumptions!$I$15</f>
        <v>25000</v>
      </c>
      <c r="AI13" s="13">
        <f>AI12*Assumptions!$I$15</f>
        <v>25000</v>
      </c>
      <c r="AJ13" s="13">
        <f>AJ12*Assumptions!$I$15</f>
        <v>30000</v>
      </c>
      <c r="AK13" s="13">
        <f>AK12*Assumptions!$I$15</f>
        <v>30000</v>
      </c>
      <c r="AL13" s="13">
        <f>AL12*Assumptions!$I$15</f>
        <v>30000</v>
      </c>
    </row>
    <row r="14" spans="2:38" x14ac:dyDescent="0.2">
      <c r="B14" s="44"/>
    </row>
    <row r="15" spans="2:38" x14ac:dyDescent="0.2">
      <c r="B15" s="55" t="s">
        <v>128</v>
      </c>
      <c r="C15">
        <f>MAX(ROUNDUP(C6/Assumptions!$I$14,0),COGS!B15,1)</f>
        <v>1</v>
      </c>
      <c r="D15">
        <f>MAX(ROUNDUP(D6/Assumptions!$I$14,0),COGS!C15,1)</f>
        <v>1</v>
      </c>
      <c r="E15">
        <f>MAX(ROUNDUP(E6/Assumptions!$I$14,0),COGS!D15,1)</f>
        <v>1</v>
      </c>
      <c r="F15">
        <f>MAX(ROUNDUP(F6/Assumptions!$I$14,0),COGS!E15,1)</f>
        <v>1</v>
      </c>
      <c r="G15">
        <f>MAX(ROUNDUP(G6/Assumptions!$I$14,0),COGS!F15,1)</f>
        <v>1</v>
      </c>
      <c r="H15">
        <f>MAX(ROUNDUP(H6/Assumptions!$I$14,0),COGS!G15,1)</f>
        <v>1</v>
      </c>
      <c r="I15">
        <f>MAX(ROUNDUP(I6/Assumptions!$I$14,0),COGS!H15,1)</f>
        <v>1</v>
      </c>
      <c r="J15">
        <f>MAX(ROUNDUP(J6/Assumptions!$I$14,0),COGS!I15,1)</f>
        <v>1</v>
      </c>
      <c r="K15">
        <f>MAX(ROUNDUP(K6/Assumptions!$I$14,0),COGS!J15,1)</f>
        <v>1</v>
      </c>
      <c r="L15">
        <f>MAX(ROUNDUP(L6/Assumptions!$I$14,0),COGS!K15,1)</f>
        <v>1</v>
      </c>
      <c r="M15">
        <f>MAX(ROUNDUP(M6/Assumptions!$I$14,0),COGS!L15,1)</f>
        <v>1</v>
      </c>
      <c r="N15">
        <f>MAX(ROUNDUP(N6/Assumptions!$I$14,0),COGS!M15,1)</f>
        <v>1</v>
      </c>
      <c r="O15">
        <f>MAX(ROUNDUP(O6/Assumptions!$I$14,0),COGS!N15,1)</f>
        <v>1</v>
      </c>
      <c r="P15">
        <f>MAX(ROUNDUP(P6/Assumptions!$I$14,0),COGS!O15,1)</f>
        <v>1</v>
      </c>
      <c r="Q15">
        <f>MAX(ROUNDUP(Q6/Assumptions!$I$14,0),COGS!P15,1)</f>
        <v>1</v>
      </c>
      <c r="R15">
        <f>MAX(ROUNDUP(R6/Assumptions!$I$14,0),COGS!Q15,1)</f>
        <v>1</v>
      </c>
      <c r="S15">
        <f>MAX(ROUNDUP(S6/Assumptions!$I$14,0),COGS!R15,1)</f>
        <v>1</v>
      </c>
      <c r="T15">
        <f>MAX(ROUNDUP(T6/Assumptions!$I$14,0),COGS!S15,1)</f>
        <v>1</v>
      </c>
      <c r="U15">
        <f>MAX(ROUNDUP(U6/Assumptions!$I$14,0),COGS!T15,1)</f>
        <v>1</v>
      </c>
      <c r="V15">
        <f>MAX(ROUNDUP(V6/Assumptions!$I$14,0),COGS!U15,1)</f>
        <v>1</v>
      </c>
      <c r="W15">
        <f>MAX(ROUNDUP(W6/Assumptions!$I$14,0),COGS!V15,1)</f>
        <v>1</v>
      </c>
      <c r="X15">
        <f>MAX(ROUNDUP(X6/Assumptions!$I$14,0),COGS!W15,1)</f>
        <v>1</v>
      </c>
      <c r="Y15">
        <f>MAX(ROUNDUP(Y6/Assumptions!$I$14,0),COGS!X15,1)</f>
        <v>2</v>
      </c>
      <c r="Z15">
        <f>MAX(ROUNDUP(Z6/Assumptions!$I$14,0),COGS!Y15,1)</f>
        <v>2</v>
      </c>
      <c r="AA15">
        <f>MAX(ROUNDUP(AA6/Assumptions!$I$14,0),COGS!Z15,1)</f>
        <v>2</v>
      </c>
      <c r="AB15">
        <f>MAX(ROUNDUP(AB6/Assumptions!$I$14,0),COGS!AA15,1)</f>
        <v>2</v>
      </c>
      <c r="AC15">
        <f>MAX(ROUNDUP(AC6/Assumptions!$I$14,0),COGS!AB15,1)</f>
        <v>2</v>
      </c>
      <c r="AD15">
        <f>MAX(ROUNDUP(AD6/Assumptions!$I$14,0),COGS!AC15,1)</f>
        <v>2</v>
      </c>
      <c r="AE15">
        <f>MAX(ROUNDUP(AE6/Assumptions!$I$14,0),COGS!AD15,1)</f>
        <v>2</v>
      </c>
      <c r="AF15">
        <f>MAX(ROUNDUP(AF6/Assumptions!$I$14,0),COGS!AE15,1)</f>
        <v>2</v>
      </c>
      <c r="AG15">
        <f>MAX(ROUNDUP(AG6/Assumptions!$I$14,0),COGS!AF15,1)</f>
        <v>3</v>
      </c>
      <c r="AH15">
        <f>MAX(ROUNDUP(AH6/Assumptions!$I$14,0),COGS!AG15,1)</f>
        <v>3</v>
      </c>
      <c r="AI15">
        <f>MAX(ROUNDUP(AI6/Assumptions!$I$14,0),COGS!AH15,1)</f>
        <v>3</v>
      </c>
      <c r="AJ15">
        <f>MAX(ROUNDUP(AJ6/Assumptions!$I$14,0),COGS!AI15,1)</f>
        <v>3</v>
      </c>
      <c r="AK15">
        <f>MAX(ROUNDUP(AK6/Assumptions!$I$14,0),COGS!AJ15,1)</f>
        <v>3</v>
      </c>
      <c r="AL15">
        <f>MAX(ROUNDUP(AL6/Assumptions!$I$14,0),COGS!AK15,1)</f>
        <v>3</v>
      </c>
    </row>
    <row r="16" spans="2:38" x14ac:dyDescent="0.2">
      <c r="B16" s="55" t="s">
        <v>129</v>
      </c>
      <c r="C16" s="13">
        <f>C15*Assumptions!$I$16</f>
        <v>3500</v>
      </c>
      <c r="D16" s="13">
        <f>D15*Assumptions!$I$16</f>
        <v>3500</v>
      </c>
      <c r="E16" s="13">
        <f>E15*Assumptions!$I$16</f>
        <v>3500</v>
      </c>
      <c r="F16" s="13">
        <f>F15*Assumptions!$I$16</f>
        <v>3500</v>
      </c>
      <c r="G16" s="13">
        <f>G15*Assumptions!$I$16</f>
        <v>3500</v>
      </c>
      <c r="H16" s="13">
        <f>H15*Assumptions!$I$16</f>
        <v>3500</v>
      </c>
      <c r="I16" s="13">
        <f>I15*Assumptions!$I$16</f>
        <v>3500</v>
      </c>
      <c r="J16" s="13">
        <f>J15*Assumptions!$I$16</f>
        <v>3500</v>
      </c>
      <c r="K16" s="13">
        <f>K15*Assumptions!$I$16</f>
        <v>3500</v>
      </c>
      <c r="L16" s="13">
        <f>L15*Assumptions!$I$16</f>
        <v>3500</v>
      </c>
      <c r="M16" s="13">
        <f>M15*Assumptions!$I$16</f>
        <v>3500</v>
      </c>
      <c r="N16" s="13">
        <f>N15*Assumptions!$I$16</f>
        <v>3500</v>
      </c>
      <c r="O16" s="13">
        <f>O15*Assumptions!$I$16</f>
        <v>3500</v>
      </c>
      <c r="P16" s="13">
        <f>P15*Assumptions!$I$16</f>
        <v>3500</v>
      </c>
      <c r="Q16" s="13">
        <f>Q15*Assumptions!$I$16</f>
        <v>3500</v>
      </c>
      <c r="R16" s="13">
        <f>R15*Assumptions!$I$16</f>
        <v>3500</v>
      </c>
      <c r="S16" s="13">
        <f>S15*Assumptions!$I$16</f>
        <v>3500</v>
      </c>
      <c r="T16" s="13">
        <f>T15*Assumptions!$I$16</f>
        <v>3500</v>
      </c>
      <c r="U16" s="13">
        <f>U15*Assumptions!$I$16</f>
        <v>3500</v>
      </c>
      <c r="V16" s="13">
        <f>V15*Assumptions!$I$16</f>
        <v>3500</v>
      </c>
      <c r="W16" s="13">
        <f>W15*Assumptions!$I$16</f>
        <v>3500</v>
      </c>
      <c r="X16" s="13">
        <f>X15*Assumptions!$I$16</f>
        <v>3500</v>
      </c>
      <c r="Y16" s="13">
        <f>Y15*Assumptions!$I$16</f>
        <v>7000</v>
      </c>
      <c r="Z16" s="13">
        <f>Z15*Assumptions!$I$16</f>
        <v>7000</v>
      </c>
      <c r="AA16" s="13">
        <f>AA15*Assumptions!$I$16</f>
        <v>7000</v>
      </c>
      <c r="AB16" s="13">
        <f>AB15*Assumptions!$I$16</f>
        <v>7000</v>
      </c>
      <c r="AC16" s="13">
        <f>AC15*Assumptions!$I$16</f>
        <v>7000</v>
      </c>
      <c r="AD16" s="13">
        <f>AD15*Assumptions!$I$16</f>
        <v>7000</v>
      </c>
      <c r="AE16" s="13">
        <f>AE15*Assumptions!$I$16</f>
        <v>7000</v>
      </c>
      <c r="AF16" s="13">
        <f>AF15*Assumptions!$I$16</f>
        <v>7000</v>
      </c>
      <c r="AG16" s="13">
        <f>AG15*Assumptions!$I$16</f>
        <v>10500</v>
      </c>
      <c r="AH16" s="13">
        <f>AH15*Assumptions!$I$16</f>
        <v>10500</v>
      </c>
      <c r="AI16" s="13">
        <f>AI15*Assumptions!$I$16</f>
        <v>10500</v>
      </c>
      <c r="AJ16" s="13">
        <f>AJ15*Assumptions!$I$16</f>
        <v>10500</v>
      </c>
      <c r="AK16" s="13">
        <f>AK15*Assumptions!$I$16</f>
        <v>10500</v>
      </c>
      <c r="AL16" s="13">
        <f>AL15*Assumptions!$I$16</f>
        <v>10500</v>
      </c>
    </row>
    <row r="17" spans="2:38" x14ac:dyDescent="0.2">
      <c r="B17" s="45"/>
    </row>
    <row r="18" spans="2:38" x14ac:dyDescent="0.2">
      <c r="B18" s="55" t="s">
        <v>130</v>
      </c>
      <c r="C18">
        <f>MAX(ROUNDUP(C6/Assumptions!$I$17,0),COGS!B18,1)</f>
        <v>1</v>
      </c>
      <c r="D18">
        <f>MAX(ROUNDUP(D6/Assumptions!$I$17,0),COGS!C18,1)</f>
        <v>1</v>
      </c>
      <c r="E18">
        <f>MAX(ROUNDUP(E6/Assumptions!$I$17,0),COGS!D18,1)</f>
        <v>1</v>
      </c>
      <c r="F18">
        <f>MAX(ROUNDUP(F6/Assumptions!$I$17,0),COGS!E18,1)</f>
        <v>1</v>
      </c>
      <c r="G18">
        <f>MAX(ROUNDUP(G6/Assumptions!$I$17,0),COGS!F18,1)</f>
        <v>1</v>
      </c>
      <c r="H18">
        <f>MAX(ROUNDUP(H6/Assumptions!$I$17,0),COGS!G18,1)</f>
        <v>1</v>
      </c>
      <c r="I18">
        <f>MAX(ROUNDUP(I6/Assumptions!$I$17,0),COGS!H18,1)</f>
        <v>1</v>
      </c>
      <c r="J18">
        <f>MAX(ROUNDUP(J6/Assumptions!$I$17,0),COGS!I18,1)</f>
        <v>1</v>
      </c>
      <c r="K18">
        <f>MAX(ROUNDUP(K6/Assumptions!$I$17,0),COGS!J18,1)</f>
        <v>1</v>
      </c>
      <c r="L18">
        <f>MAX(ROUNDUP(L6/Assumptions!$I$17,0),COGS!K18,1)</f>
        <v>1</v>
      </c>
      <c r="M18">
        <f>MAX(ROUNDUP(M6/Assumptions!$I$17,0),COGS!L18,1)</f>
        <v>1</v>
      </c>
      <c r="N18">
        <f>MAX(ROUNDUP(N6/Assumptions!$I$17,0),COGS!M18,1)</f>
        <v>1</v>
      </c>
      <c r="O18">
        <f>MAX(ROUNDUP(O6/Assumptions!$I$17,0),COGS!N18,1)</f>
        <v>1</v>
      </c>
      <c r="P18">
        <f>MAX(ROUNDUP(P6/Assumptions!$I$17,0),COGS!O18,1)</f>
        <v>1</v>
      </c>
      <c r="Q18">
        <f>MAX(ROUNDUP(Q6/Assumptions!$I$17,0),COGS!P18,1)</f>
        <v>1</v>
      </c>
      <c r="R18">
        <f>MAX(ROUNDUP(R6/Assumptions!$I$17,0),COGS!Q18,1)</f>
        <v>1</v>
      </c>
      <c r="S18">
        <f>MAX(ROUNDUP(S6/Assumptions!$I$17,0),COGS!R18,1)</f>
        <v>1</v>
      </c>
      <c r="T18">
        <f>MAX(ROUNDUP(T6/Assumptions!$I$17,0),COGS!S18,1)</f>
        <v>1</v>
      </c>
      <c r="U18">
        <f>MAX(ROUNDUP(U6/Assumptions!$I$17,0),COGS!T18,1)</f>
        <v>1</v>
      </c>
      <c r="V18">
        <f>MAX(ROUNDUP(V6/Assumptions!$I$17,0),COGS!U18,1)</f>
        <v>1</v>
      </c>
      <c r="W18">
        <f>MAX(ROUNDUP(W6/Assumptions!$I$17,0),COGS!V18,1)</f>
        <v>1</v>
      </c>
      <c r="X18">
        <f>MAX(ROUNDUP(X6/Assumptions!$I$17,0),COGS!W18,1)</f>
        <v>1</v>
      </c>
      <c r="Y18">
        <f>MAX(ROUNDUP(Y6/Assumptions!$I$17,0),COGS!X18,1)</f>
        <v>2</v>
      </c>
      <c r="Z18">
        <f>MAX(ROUNDUP(Z6/Assumptions!$I$17,0),COGS!Y18,1)</f>
        <v>2</v>
      </c>
      <c r="AA18">
        <f>MAX(ROUNDUP(AA6/Assumptions!$I$17,0),COGS!Z18,1)</f>
        <v>2</v>
      </c>
      <c r="AB18">
        <f>MAX(ROUNDUP(AB6/Assumptions!$I$17,0),COGS!AA18,1)</f>
        <v>2</v>
      </c>
      <c r="AC18">
        <f>MAX(ROUNDUP(AC6/Assumptions!$I$17,0),COGS!AB18,1)</f>
        <v>2</v>
      </c>
      <c r="AD18">
        <f>MAX(ROUNDUP(AD6/Assumptions!$I$17,0),COGS!AC18,1)</f>
        <v>2</v>
      </c>
      <c r="AE18">
        <f>MAX(ROUNDUP(AE6/Assumptions!$I$17,0),COGS!AD18,1)</f>
        <v>2</v>
      </c>
      <c r="AF18">
        <f>MAX(ROUNDUP(AF6/Assumptions!$I$17,0),COGS!AE18,1)</f>
        <v>2</v>
      </c>
      <c r="AG18">
        <f>MAX(ROUNDUP(AG6/Assumptions!$I$17,0),COGS!AF18,1)</f>
        <v>3</v>
      </c>
      <c r="AH18">
        <f>MAX(ROUNDUP(AH6/Assumptions!$I$17,0),COGS!AG18,1)</f>
        <v>3</v>
      </c>
      <c r="AI18">
        <f>MAX(ROUNDUP(AI6/Assumptions!$I$17,0),COGS!AH18,1)</f>
        <v>3</v>
      </c>
      <c r="AJ18">
        <f>MAX(ROUNDUP(AJ6/Assumptions!$I$17,0),COGS!AI18,1)</f>
        <v>3</v>
      </c>
      <c r="AK18">
        <f>MAX(ROUNDUP(AK6/Assumptions!$I$17,0),COGS!AJ18,1)</f>
        <v>3</v>
      </c>
      <c r="AL18">
        <f>MAX(ROUNDUP(AL6/Assumptions!$I$17,0),COGS!AK18,1)</f>
        <v>3</v>
      </c>
    </row>
    <row r="19" spans="2:38" x14ac:dyDescent="0.2">
      <c r="B19" s="55" t="s">
        <v>131</v>
      </c>
      <c r="C19" s="26">
        <f>C18*Assumptions!$I$18</f>
        <v>5000</v>
      </c>
      <c r="D19" s="26">
        <f>D18*Assumptions!$I$18</f>
        <v>5000</v>
      </c>
      <c r="E19" s="26">
        <f>E18*Assumptions!$I$18</f>
        <v>5000</v>
      </c>
      <c r="F19" s="26">
        <f>F18*Assumptions!$I$18</f>
        <v>5000</v>
      </c>
      <c r="G19" s="26">
        <f>G18*Assumptions!$I$18</f>
        <v>5000</v>
      </c>
      <c r="H19" s="26">
        <f>H18*Assumptions!$I$18</f>
        <v>5000</v>
      </c>
      <c r="I19" s="26">
        <f>I18*Assumptions!$I$18</f>
        <v>5000</v>
      </c>
      <c r="J19" s="26">
        <f>J18*Assumptions!$I$18</f>
        <v>5000</v>
      </c>
      <c r="K19" s="26">
        <f>K18*Assumptions!$I$18</f>
        <v>5000</v>
      </c>
      <c r="L19" s="26">
        <f>L18*Assumptions!$I$18</f>
        <v>5000</v>
      </c>
      <c r="M19" s="26">
        <f>M18*Assumptions!$I$18</f>
        <v>5000</v>
      </c>
      <c r="N19" s="26">
        <f>N18*Assumptions!$I$18</f>
        <v>5000</v>
      </c>
      <c r="O19" s="26">
        <f>O18*Assumptions!$I$18</f>
        <v>5000</v>
      </c>
      <c r="P19" s="26">
        <f>P18*Assumptions!$I$18</f>
        <v>5000</v>
      </c>
      <c r="Q19" s="26">
        <f>Q18*Assumptions!$I$18</f>
        <v>5000</v>
      </c>
      <c r="R19" s="26">
        <f>R18*Assumptions!$I$18</f>
        <v>5000</v>
      </c>
      <c r="S19" s="26">
        <f>S18*Assumptions!$I$18</f>
        <v>5000</v>
      </c>
      <c r="T19" s="26">
        <f>T18*Assumptions!$I$18</f>
        <v>5000</v>
      </c>
      <c r="U19" s="26">
        <f>U18*Assumptions!$I$18</f>
        <v>5000</v>
      </c>
      <c r="V19" s="26">
        <f>V18*Assumptions!$I$18</f>
        <v>5000</v>
      </c>
      <c r="W19" s="26">
        <f>W18*Assumptions!$I$18</f>
        <v>5000</v>
      </c>
      <c r="X19" s="26">
        <f>X18*Assumptions!$I$18</f>
        <v>5000</v>
      </c>
      <c r="Y19" s="26">
        <f>Y18*Assumptions!$I$18</f>
        <v>10000</v>
      </c>
      <c r="Z19" s="26">
        <f>Z18*Assumptions!$I$18</f>
        <v>10000</v>
      </c>
      <c r="AA19" s="26">
        <f>AA18*Assumptions!$I$18</f>
        <v>10000</v>
      </c>
      <c r="AB19" s="26">
        <f>AB18*Assumptions!$I$18</f>
        <v>10000</v>
      </c>
      <c r="AC19" s="26">
        <f>AC18*Assumptions!$I$18</f>
        <v>10000</v>
      </c>
      <c r="AD19" s="26">
        <f>AD18*Assumptions!$I$18</f>
        <v>10000</v>
      </c>
      <c r="AE19" s="26">
        <f>AE18*Assumptions!$I$18</f>
        <v>10000</v>
      </c>
      <c r="AF19" s="26">
        <f>AF18*Assumptions!$I$18</f>
        <v>10000</v>
      </c>
      <c r="AG19" s="26">
        <f>AG18*Assumptions!$I$18</f>
        <v>15000</v>
      </c>
      <c r="AH19" s="26">
        <f>AH18*Assumptions!$I$18</f>
        <v>15000</v>
      </c>
      <c r="AI19" s="26">
        <f>AI18*Assumptions!$I$18</f>
        <v>15000</v>
      </c>
      <c r="AJ19" s="26">
        <f>AJ18*Assumptions!$I$18</f>
        <v>15000</v>
      </c>
      <c r="AK19" s="26">
        <f>AK18*Assumptions!$I$18</f>
        <v>15000</v>
      </c>
      <c r="AL19" s="26">
        <f>AL18*Assumptions!$I$18</f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D358-2D55-244B-BC87-194D1A5A12D8}">
  <dimension ref="B2:AL17"/>
  <sheetViews>
    <sheetView workbookViewId="0">
      <selection activeCell="E24" sqref="E24"/>
    </sheetView>
  </sheetViews>
  <sheetFormatPr baseColWidth="10" defaultRowHeight="15" x14ac:dyDescent="0.2"/>
  <cols>
    <col min="2" max="2" width="26.33203125" bestFit="1" customWidth="1"/>
    <col min="3" max="38" width="11.83203125" bestFit="1" customWidth="1"/>
  </cols>
  <sheetData>
    <row r="2" spans="2:38" x14ac:dyDescent="0.2">
      <c r="B2" s="10" t="s">
        <v>196</v>
      </c>
    </row>
    <row r="4" spans="2:38" x14ac:dyDescent="0.2">
      <c r="B4" s="42" t="s">
        <v>193</v>
      </c>
      <c r="C4" s="43" t="s">
        <v>22</v>
      </c>
      <c r="D4" s="43" t="s">
        <v>23</v>
      </c>
      <c r="E4" s="43" t="s">
        <v>24</v>
      </c>
      <c r="F4" s="43" t="s">
        <v>61</v>
      </c>
      <c r="G4" s="43" t="s">
        <v>25</v>
      </c>
      <c r="H4" s="43" t="s">
        <v>26</v>
      </c>
      <c r="I4" s="43" t="s">
        <v>27</v>
      </c>
      <c r="J4" s="43" t="s">
        <v>28</v>
      </c>
      <c r="K4" s="43" t="s">
        <v>29</v>
      </c>
      <c r="L4" s="43" t="s">
        <v>30</v>
      </c>
      <c r="M4" s="43" t="s">
        <v>31</v>
      </c>
      <c r="N4" s="43" t="s">
        <v>32</v>
      </c>
      <c r="O4" s="43" t="s">
        <v>33</v>
      </c>
      <c r="P4" s="43" t="s">
        <v>34</v>
      </c>
      <c r="Q4" s="43" t="s">
        <v>35</v>
      </c>
      <c r="R4" s="43" t="s">
        <v>36</v>
      </c>
      <c r="S4" s="43" t="s">
        <v>37</v>
      </c>
      <c r="T4" s="43" t="s">
        <v>38</v>
      </c>
      <c r="U4" s="43" t="s">
        <v>39</v>
      </c>
      <c r="V4" s="43" t="s">
        <v>40</v>
      </c>
      <c r="W4" s="43" t="s">
        <v>41</v>
      </c>
      <c r="X4" s="43" t="s">
        <v>42</v>
      </c>
      <c r="Y4" s="43" t="s">
        <v>43</v>
      </c>
      <c r="Z4" s="43" t="s">
        <v>44</v>
      </c>
      <c r="AA4" s="43" t="s">
        <v>45</v>
      </c>
      <c r="AB4" s="43" t="s">
        <v>46</v>
      </c>
      <c r="AC4" s="43" t="s">
        <v>47</v>
      </c>
      <c r="AD4" s="43" t="s">
        <v>48</v>
      </c>
      <c r="AE4" s="43" t="s">
        <v>49</v>
      </c>
      <c r="AF4" s="43" t="s">
        <v>50</v>
      </c>
      <c r="AG4" s="43" t="s">
        <v>51</v>
      </c>
      <c r="AH4" s="43" t="s">
        <v>52</v>
      </c>
      <c r="AI4" s="43" t="s">
        <v>53</v>
      </c>
      <c r="AJ4" s="43" t="s">
        <v>54</v>
      </c>
      <c r="AK4" s="43" t="s">
        <v>55</v>
      </c>
      <c r="AL4" s="43" t="s">
        <v>56</v>
      </c>
    </row>
    <row r="5" spans="2:38" x14ac:dyDescent="0.2">
      <c r="B5" s="4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2:38" x14ac:dyDescent="0.2">
      <c r="B6" s="42" t="s">
        <v>133</v>
      </c>
      <c r="C6" s="13">
        <f>Assumptions!$I$21</f>
        <v>10000</v>
      </c>
      <c r="D6" s="13">
        <f>Assumptions!$I$21</f>
        <v>10000</v>
      </c>
      <c r="E6" s="13">
        <f>Assumptions!$I$21</f>
        <v>10000</v>
      </c>
      <c r="F6" s="13">
        <f>Assumptions!$I$21</f>
        <v>10000</v>
      </c>
      <c r="G6" s="13">
        <f>Assumptions!$I$21</f>
        <v>10000</v>
      </c>
      <c r="H6" s="13">
        <f>Assumptions!$I$21</f>
        <v>10000</v>
      </c>
      <c r="I6" s="13">
        <f>Assumptions!$I$21</f>
        <v>10000</v>
      </c>
      <c r="J6" s="13">
        <f>Assumptions!$I$21</f>
        <v>10000</v>
      </c>
      <c r="K6" s="13">
        <f>Assumptions!$I$21</f>
        <v>10000</v>
      </c>
      <c r="L6" s="13">
        <f>Assumptions!$I$21</f>
        <v>10000</v>
      </c>
      <c r="M6" s="13">
        <f>Assumptions!$I$21</f>
        <v>10000</v>
      </c>
      <c r="N6" s="13">
        <f>Assumptions!$I$21</f>
        <v>10000</v>
      </c>
      <c r="O6" s="13">
        <f>Assumptions!$I$21</f>
        <v>10000</v>
      </c>
      <c r="P6" s="13">
        <f>Assumptions!$I$21</f>
        <v>10000</v>
      </c>
      <c r="Q6" s="13">
        <f>Assumptions!$I$21</f>
        <v>10000</v>
      </c>
      <c r="R6" s="13">
        <f>Assumptions!$I$21</f>
        <v>10000</v>
      </c>
      <c r="S6" s="13">
        <f>Assumptions!$I$21</f>
        <v>10000</v>
      </c>
      <c r="T6" s="13">
        <f>Assumptions!$I$21</f>
        <v>10000</v>
      </c>
      <c r="U6" s="13">
        <f>Assumptions!$I$21</f>
        <v>10000</v>
      </c>
      <c r="V6" s="13">
        <f>Assumptions!$I$21</f>
        <v>10000</v>
      </c>
      <c r="W6" s="13">
        <f>Assumptions!$I$21</f>
        <v>10000</v>
      </c>
      <c r="X6" s="13">
        <f>Assumptions!$I$21</f>
        <v>10000</v>
      </c>
      <c r="Y6" s="13">
        <f>Assumptions!$I$21</f>
        <v>10000</v>
      </c>
      <c r="Z6" s="13">
        <f>Assumptions!$I$21</f>
        <v>10000</v>
      </c>
      <c r="AA6" s="13">
        <f>Assumptions!$I$21</f>
        <v>10000</v>
      </c>
      <c r="AB6" s="13">
        <f>Assumptions!$I$21</f>
        <v>10000</v>
      </c>
      <c r="AC6" s="13">
        <f>Assumptions!$I$21</f>
        <v>10000</v>
      </c>
      <c r="AD6" s="13">
        <f>Assumptions!$I$21</f>
        <v>10000</v>
      </c>
      <c r="AE6" s="13">
        <f>Assumptions!$I$21</f>
        <v>10000</v>
      </c>
      <c r="AF6" s="13">
        <f>Assumptions!$I$21</f>
        <v>10000</v>
      </c>
      <c r="AG6" s="13">
        <f>Assumptions!$I$21</f>
        <v>10000</v>
      </c>
      <c r="AH6" s="13">
        <f>Assumptions!$I$21</f>
        <v>10000</v>
      </c>
      <c r="AI6" s="13">
        <f>Assumptions!$I$21</f>
        <v>10000</v>
      </c>
      <c r="AJ6" s="13">
        <f>Assumptions!$I$21</f>
        <v>10000</v>
      </c>
      <c r="AK6" s="13">
        <f>Assumptions!$I$21</f>
        <v>10000</v>
      </c>
      <c r="AL6" s="13">
        <f>Assumptions!$I$21</f>
        <v>10000</v>
      </c>
    </row>
    <row r="7" spans="2:38" x14ac:dyDescent="0.2">
      <c r="B7" s="55" t="s">
        <v>134</v>
      </c>
      <c r="C7" s="13">
        <f>Assumptions!$I$22</f>
        <v>5000</v>
      </c>
      <c r="D7" s="13">
        <f>Assumptions!$I$22</f>
        <v>5000</v>
      </c>
      <c r="E7" s="13">
        <f>Assumptions!$I$22</f>
        <v>5000</v>
      </c>
      <c r="F7" s="13">
        <f>Assumptions!$I$22</f>
        <v>5000</v>
      </c>
      <c r="G7" s="13">
        <f>Assumptions!$I$22</f>
        <v>5000</v>
      </c>
      <c r="H7" s="13">
        <f>Assumptions!$I$22</f>
        <v>5000</v>
      </c>
      <c r="I7" s="13">
        <f>Assumptions!$I$22</f>
        <v>5000</v>
      </c>
      <c r="J7" s="13">
        <f>Assumptions!$I$22</f>
        <v>5000</v>
      </c>
      <c r="K7" s="13">
        <f>Assumptions!$I$22</f>
        <v>5000</v>
      </c>
      <c r="L7" s="13">
        <f>Assumptions!$I$22</f>
        <v>5000</v>
      </c>
      <c r="M7" s="13">
        <f>Assumptions!$I$22</f>
        <v>5000</v>
      </c>
      <c r="N7" s="13">
        <f>Assumptions!$I$22</f>
        <v>5000</v>
      </c>
      <c r="O7" s="13">
        <f>Assumptions!$I$22</f>
        <v>5000</v>
      </c>
      <c r="P7" s="13">
        <f>Assumptions!$I$22</f>
        <v>5000</v>
      </c>
      <c r="Q7" s="13">
        <f>Assumptions!$I$22</f>
        <v>5000</v>
      </c>
      <c r="R7" s="13">
        <f>Assumptions!$I$22</f>
        <v>5000</v>
      </c>
      <c r="S7" s="13">
        <f>Assumptions!$I$22</f>
        <v>5000</v>
      </c>
      <c r="T7" s="13">
        <f>Assumptions!$I$22</f>
        <v>5000</v>
      </c>
      <c r="U7" s="13">
        <f>Assumptions!$I$22</f>
        <v>5000</v>
      </c>
      <c r="V7" s="13">
        <f>Assumptions!$I$22</f>
        <v>5000</v>
      </c>
      <c r="W7" s="13">
        <f>Assumptions!$I$22</f>
        <v>5000</v>
      </c>
      <c r="X7" s="13">
        <f>Assumptions!$I$22</f>
        <v>5000</v>
      </c>
      <c r="Y7" s="13">
        <f>Assumptions!$I$22</f>
        <v>5000</v>
      </c>
      <c r="Z7" s="13">
        <f>Assumptions!$I$22</f>
        <v>5000</v>
      </c>
      <c r="AA7" s="13">
        <f>Assumptions!$I$22</f>
        <v>5000</v>
      </c>
      <c r="AB7" s="13">
        <f>Assumptions!$I$22</f>
        <v>5000</v>
      </c>
      <c r="AC7" s="13">
        <f>Assumptions!$I$22</f>
        <v>5000</v>
      </c>
      <c r="AD7" s="13">
        <f>Assumptions!$I$22</f>
        <v>5000</v>
      </c>
      <c r="AE7" s="13">
        <f>Assumptions!$I$22</f>
        <v>5000</v>
      </c>
      <c r="AF7" s="13">
        <f>Assumptions!$I$22</f>
        <v>5000</v>
      </c>
      <c r="AG7" s="13">
        <f>Assumptions!$I$22</f>
        <v>5000</v>
      </c>
      <c r="AH7" s="13">
        <f>Assumptions!$I$22</f>
        <v>5000</v>
      </c>
      <c r="AI7" s="13">
        <f>Assumptions!$I$22</f>
        <v>5000</v>
      </c>
      <c r="AJ7" s="13">
        <f>Assumptions!$I$22</f>
        <v>5000</v>
      </c>
      <c r="AK7" s="13">
        <f>Assumptions!$I$22</f>
        <v>5000</v>
      </c>
      <c r="AL7" s="13">
        <f>Assumptions!$I$22</f>
        <v>5000</v>
      </c>
    </row>
    <row r="8" spans="2:38" x14ac:dyDescent="0.2">
      <c r="B8" s="44"/>
    </row>
    <row r="9" spans="2:38" x14ac:dyDescent="0.2">
      <c r="B9" s="42" t="s">
        <v>84</v>
      </c>
      <c r="C9" s="13">
        <f>'Sales and Customer Acquisition '!C6*Assumptions!$I$5</f>
        <v>0</v>
      </c>
      <c r="D9" s="13">
        <f>'Sales and Customer Acquisition '!D6*Assumptions!$I$5</f>
        <v>0</v>
      </c>
      <c r="E9" s="13">
        <f>'Sales and Customer Acquisition '!E6*Assumptions!$I$5</f>
        <v>2500</v>
      </c>
      <c r="F9" s="13">
        <f>'Sales and Customer Acquisition '!F6*Assumptions!$I$5</f>
        <v>2600</v>
      </c>
      <c r="G9" s="13">
        <f>'Sales and Customer Acquisition '!G6*Assumptions!$I$5</f>
        <v>2704</v>
      </c>
      <c r="H9" s="13">
        <f>'Sales and Customer Acquisition '!H6*Assumptions!$I$5</f>
        <v>2812.1600000000003</v>
      </c>
      <c r="I9" s="13">
        <f>'Sales and Customer Acquisition '!I6*Assumptions!$I$5</f>
        <v>2924.6464000000005</v>
      </c>
      <c r="J9" s="13">
        <f>'Sales and Customer Acquisition '!J6*Assumptions!$I$5</f>
        <v>3041.6322560000012</v>
      </c>
      <c r="K9" s="13">
        <f>'Sales and Customer Acquisition '!K6*Assumptions!$I$5</f>
        <v>3163.2975462400013</v>
      </c>
      <c r="L9" s="13">
        <f>'Sales and Customer Acquisition '!L6*Assumptions!$I$5</f>
        <v>3289.8294480896016</v>
      </c>
      <c r="M9" s="13">
        <f>'Sales and Customer Acquisition '!M6*Assumptions!$I$5</f>
        <v>3421.4226260131859</v>
      </c>
      <c r="N9" s="13">
        <f>'Sales and Customer Acquisition '!N6*Assumptions!$I$5</f>
        <v>3558.2795310537135</v>
      </c>
      <c r="O9" s="13">
        <f>'Sales and Customer Acquisition '!O6*Assumptions!$I$5</f>
        <v>3700.6107122958624</v>
      </c>
      <c r="P9" s="13">
        <f>'Sales and Customer Acquisition '!P6*Assumptions!$I$5</f>
        <v>3848.6351407876973</v>
      </c>
      <c r="Q9" s="13">
        <f>'Sales and Customer Acquisition '!Q6*Assumptions!$I$5</f>
        <v>4002.5805464192049</v>
      </c>
      <c r="R9" s="13">
        <f>'Sales and Customer Acquisition '!R6*Assumptions!$I$5</f>
        <v>4162.6837682759733</v>
      </c>
      <c r="S9" s="13">
        <f>'Sales and Customer Acquisition '!S6*Assumptions!$I$5</f>
        <v>4329.1911190070123</v>
      </c>
      <c r="T9" s="13">
        <f>'Sales and Customer Acquisition '!T6*Assumptions!$I$5</f>
        <v>4502.3587637672927</v>
      </c>
      <c r="U9" s="13">
        <f>'Sales and Customer Acquisition '!U6*Assumptions!$I$5</f>
        <v>4682.4531143179847</v>
      </c>
      <c r="V9" s="13">
        <f>'Sales and Customer Acquisition '!V6*Assumptions!$I$5</f>
        <v>4869.7512388907044</v>
      </c>
      <c r="W9" s="13">
        <f>'Sales and Customer Acquisition '!W6*Assumptions!$I$5</f>
        <v>5064.5412884463331</v>
      </c>
      <c r="X9" s="13">
        <f>'Sales and Customer Acquisition '!X6*Assumptions!$I$5</f>
        <v>5267.1229399841859</v>
      </c>
      <c r="Y9" s="13">
        <f>'Sales and Customer Acquisition '!Y6*Assumptions!$I$5</f>
        <v>5477.8078575835534</v>
      </c>
      <c r="Z9" s="13">
        <f>'Sales and Customer Acquisition '!Z6*Assumptions!$I$5</f>
        <v>5696.9201718868962</v>
      </c>
      <c r="AA9" s="13">
        <f>'Sales and Customer Acquisition '!AA6*Assumptions!$I$5</f>
        <v>5924.7969787623724</v>
      </c>
      <c r="AB9" s="13">
        <f>'Sales and Customer Acquisition '!AB6*Assumptions!$I$5</f>
        <v>6161.7888579128676</v>
      </c>
      <c r="AC9" s="13">
        <f>'Sales and Customer Acquisition '!AC6*Assumptions!$I$5</f>
        <v>6408.2604122293824</v>
      </c>
      <c r="AD9" s="13">
        <f>'Sales and Customer Acquisition '!AD6*Assumptions!$I$5</f>
        <v>6664.5908287185584</v>
      </c>
      <c r="AE9" s="13">
        <f>'Sales and Customer Acquisition '!AE6*Assumptions!$I$5</f>
        <v>6931.174461867301</v>
      </c>
      <c r="AF9" s="13">
        <f>'Sales and Customer Acquisition '!AF6*Assumptions!$I$5</f>
        <v>7208.4214403419937</v>
      </c>
      <c r="AG9" s="13">
        <f>'Sales and Customer Acquisition '!AG6*Assumptions!$I$5</f>
        <v>7496.7582979556737</v>
      </c>
      <c r="AH9" s="13">
        <f>'Sales and Customer Acquisition '!AH6*Assumptions!$I$5</f>
        <v>7796.6286298739005</v>
      </c>
      <c r="AI9" s="13">
        <f>'Sales and Customer Acquisition '!AI6*Assumptions!$I$5</f>
        <v>8108.4937750688559</v>
      </c>
      <c r="AJ9" s="13">
        <f>'Sales and Customer Acquisition '!AJ6*Assumptions!$I$5</f>
        <v>8432.8335260716121</v>
      </c>
      <c r="AK9" s="13">
        <f>'Sales and Customer Acquisition '!AK6*Assumptions!$I$5</f>
        <v>8770.1468671144758</v>
      </c>
      <c r="AL9" s="13">
        <f>'Sales and Customer Acquisition '!AL6*Assumptions!$I$5</f>
        <v>9120.9527417990575</v>
      </c>
    </row>
    <row r="10" spans="2:38" x14ac:dyDescent="0.2">
      <c r="B10" s="42" t="s">
        <v>147</v>
      </c>
      <c r="C10" s="13">
        <f t="shared" ref="C10:AL10" si="0">C12+C13</f>
        <v>4000</v>
      </c>
      <c r="D10" s="13">
        <f t="shared" si="0"/>
        <v>4000</v>
      </c>
      <c r="E10" s="13">
        <f t="shared" si="0"/>
        <v>4000</v>
      </c>
      <c r="F10" s="13">
        <f t="shared" si="0"/>
        <v>8000</v>
      </c>
      <c r="G10" s="13">
        <f t="shared" si="0"/>
        <v>8000</v>
      </c>
      <c r="H10" s="13">
        <f t="shared" si="0"/>
        <v>8000</v>
      </c>
      <c r="I10" s="13">
        <f t="shared" si="0"/>
        <v>8000</v>
      </c>
      <c r="J10" s="13">
        <f t="shared" si="0"/>
        <v>8000</v>
      </c>
      <c r="K10" s="13">
        <f t="shared" si="0"/>
        <v>8000</v>
      </c>
      <c r="L10" s="13">
        <f t="shared" si="0"/>
        <v>8000</v>
      </c>
      <c r="M10" s="13">
        <f t="shared" si="0"/>
        <v>14675</v>
      </c>
      <c r="N10" s="13">
        <f t="shared" si="0"/>
        <v>8445</v>
      </c>
      <c r="O10" s="13">
        <f t="shared" si="0"/>
        <v>8445</v>
      </c>
      <c r="P10" s="13">
        <f t="shared" si="0"/>
        <v>8445</v>
      </c>
      <c r="Q10" s="13">
        <f t="shared" si="0"/>
        <v>8445</v>
      </c>
      <c r="R10" s="13">
        <f t="shared" si="0"/>
        <v>8890</v>
      </c>
      <c r="S10" s="13">
        <f t="shared" si="0"/>
        <v>15565</v>
      </c>
      <c r="T10" s="13">
        <f t="shared" si="0"/>
        <v>9780</v>
      </c>
      <c r="U10" s="13">
        <f t="shared" si="0"/>
        <v>9780</v>
      </c>
      <c r="V10" s="13">
        <f t="shared" si="0"/>
        <v>10225</v>
      </c>
      <c r="W10" s="13">
        <f t="shared" si="0"/>
        <v>14225</v>
      </c>
      <c r="X10" s="13">
        <f t="shared" si="0"/>
        <v>14670</v>
      </c>
      <c r="Y10" s="13">
        <f t="shared" si="0"/>
        <v>21345</v>
      </c>
      <c r="Z10" s="13">
        <f t="shared" si="0"/>
        <v>16005</v>
      </c>
      <c r="AA10" s="13">
        <f t="shared" si="0"/>
        <v>16450</v>
      </c>
      <c r="AB10" s="13">
        <f t="shared" si="0"/>
        <v>16895</v>
      </c>
      <c r="AC10" s="13">
        <f t="shared" si="0"/>
        <v>24015</v>
      </c>
      <c r="AD10" s="13">
        <f t="shared" si="0"/>
        <v>18675</v>
      </c>
      <c r="AE10" s="13">
        <f t="shared" si="0"/>
        <v>19565</v>
      </c>
      <c r="AF10" s="13">
        <f t="shared" si="0"/>
        <v>20010</v>
      </c>
      <c r="AG10" s="13">
        <f t="shared" si="0"/>
        <v>27575</v>
      </c>
      <c r="AH10" s="13">
        <f t="shared" si="0"/>
        <v>26680</v>
      </c>
      <c r="AI10" s="13">
        <f t="shared" si="0"/>
        <v>28015</v>
      </c>
      <c r="AJ10" s="13">
        <f t="shared" si="0"/>
        <v>36025</v>
      </c>
      <c r="AK10" s="13">
        <f t="shared" si="0"/>
        <v>31575</v>
      </c>
      <c r="AL10" s="13">
        <f t="shared" si="0"/>
        <v>33355</v>
      </c>
    </row>
    <row r="11" spans="2:38" x14ac:dyDescent="0.2">
      <c r="B11" s="48" t="s">
        <v>74</v>
      </c>
      <c r="C11">
        <f>MAX(1, ROUNDUP('Sales and Customer Acquisition '!C6/Assumptions!$I$23,0))</f>
        <v>1</v>
      </c>
      <c r="D11">
        <f>MAX(1, ROUNDUP('Sales and Customer Acquisition '!D6/Assumptions!$I$23,0))</f>
        <v>1</v>
      </c>
      <c r="E11">
        <f>MAX(1, ROUNDUP('Sales and Customer Acquisition '!E6/Assumptions!$I$23,0))</f>
        <v>1</v>
      </c>
      <c r="F11">
        <f>MAX(1, ROUNDUP('Sales and Customer Acquisition '!F6/Assumptions!$I$23,0))</f>
        <v>2</v>
      </c>
      <c r="G11">
        <f>MAX(1, ROUNDUP('Sales and Customer Acquisition '!G6/Assumptions!$I$23,0))</f>
        <v>2</v>
      </c>
      <c r="H11">
        <f>MAX(1, ROUNDUP('Sales and Customer Acquisition '!H6/Assumptions!$I$23,0))</f>
        <v>2</v>
      </c>
      <c r="I11">
        <f>MAX(1, ROUNDUP('Sales and Customer Acquisition '!I6/Assumptions!$I$23,0))</f>
        <v>2</v>
      </c>
      <c r="J11">
        <f>MAX(1, ROUNDUP('Sales and Customer Acquisition '!J6/Assumptions!$I$23,0))</f>
        <v>2</v>
      </c>
      <c r="K11">
        <f>MAX(1, ROUNDUP('Sales and Customer Acquisition '!K6/Assumptions!$I$23,0))</f>
        <v>2</v>
      </c>
      <c r="L11">
        <f>MAX(1, ROUNDUP('Sales and Customer Acquisition '!L6/Assumptions!$I$23,0))</f>
        <v>2</v>
      </c>
      <c r="M11">
        <f>MAX(1, ROUNDUP('Sales and Customer Acquisition '!M6/Assumptions!$I$23,0))</f>
        <v>2</v>
      </c>
      <c r="N11">
        <f>MAX(1, ROUNDUP('Sales and Customer Acquisition '!N6/Assumptions!$I$23,0))</f>
        <v>2</v>
      </c>
      <c r="O11">
        <f>MAX(1, ROUNDUP('Sales and Customer Acquisition '!O6/Assumptions!$I$23,0))</f>
        <v>2</v>
      </c>
      <c r="P11">
        <f>MAX(1, ROUNDUP('Sales and Customer Acquisition '!P6/Assumptions!$I$23,0))</f>
        <v>2</v>
      </c>
      <c r="Q11">
        <f>MAX(1, ROUNDUP('Sales and Customer Acquisition '!Q6/Assumptions!$I$23,0))</f>
        <v>2</v>
      </c>
      <c r="R11">
        <f>MAX(1, ROUNDUP('Sales and Customer Acquisition '!R6/Assumptions!$I$23,0))</f>
        <v>2</v>
      </c>
      <c r="S11">
        <f>MAX(1, ROUNDUP('Sales and Customer Acquisition '!S6/Assumptions!$I$23,0))</f>
        <v>2</v>
      </c>
      <c r="T11">
        <f>MAX(1, ROUNDUP('Sales and Customer Acquisition '!T6/Assumptions!$I$23,0))</f>
        <v>2</v>
      </c>
      <c r="U11">
        <f>MAX(1, ROUNDUP('Sales and Customer Acquisition '!U6/Assumptions!$I$23,0))</f>
        <v>2</v>
      </c>
      <c r="V11">
        <f>MAX(1, ROUNDUP('Sales and Customer Acquisition '!V6/Assumptions!$I$23,0))</f>
        <v>2</v>
      </c>
      <c r="W11">
        <f>MAX(1, ROUNDUP('Sales and Customer Acquisition '!W6/Assumptions!$I$23,0))</f>
        <v>3</v>
      </c>
      <c r="X11">
        <f>MAX(1, ROUNDUP('Sales and Customer Acquisition '!X6/Assumptions!$I$23,0))</f>
        <v>3</v>
      </c>
      <c r="Y11">
        <f>MAX(1, ROUNDUP('Sales and Customer Acquisition '!Y6/Assumptions!$I$23,0))</f>
        <v>3</v>
      </c>
      <c r="Z11">
        <f>MAX(1, ROUNDUP('Sales and Customer Acquisition '!Z6/Assumptions!$I$23,0))</f>
        <v>3</v>
      </c>
      <c r="AA11">
        <f>MAX(1, ROUNDUP('Sales and Customer Acquisition '!AA6/Assumptions!$I$23,0))</f>
        <v>3</v>
      </c>
      <c r="AB11">
        <f>MAX(1, ROUNDUP('Sales and Customer Acquisition '!AB6/Assumptions!$I$23,0))</f>
        <v>3</v>
      </c>
      <c r="AC11">
        <f>MAX(1, ROUNDUP('Sales and Customer Acquisition '!AC6/Assumptions!$I$23,0))</f>
        <v>3</v>
      </c>
      <c r="AD11">
        <f>MAX(1, ROUNDUP('Sales and Customer Acquisition '!AD6/Assumptions!$I$23,0))</f>
        <v>3</v>
      </c>
      <c r="AE11">
        <f>MAX(1, ROUNDUP('Sales and Customer Acquisition '!AE6/Assumptions!$I$23,0))</f>
        <v>3</v>
      </c>
      <c r="AF11">
        <f>MAX(1, ROUNDUP('Sales and Customer Acquisition '!AF6/Assumptions!$I$23,0))</f>
        <v>3</v>
      </c>
      <c r="AG11">
        <f>MAX(1, ROUNDUP('Sales and Customer Acquisition '!AG6/Assumptions!$I$23,0))</f>
        <v>3</v>
      </c>
      <c r="AH11">
        <f>MAX(1, ROUNDUP('Sales and Customer Acquisition '!AH6/Assumptions!$I$23,0))</f>
        <v>4</v>
      </c>
      <c r="AI11">
        <f>MAX(1, ROUNDUP('Sales and Customer Acquisition '!AI6/Assumptions!$I$23,0))</f>
        <v>4</v>
      </c>
      <c r="AJ11">
        <f>MAX(1, ROUNDUP('Sales and Customer Acquisition '!AJ6/Assumptions!$I$23,0))</f>
        <v>4</v>
      </c>
      <c r="AK11">
        <f>MAX(1, ROUNDUP('Sales and Customer Acquisition '!AK6/Assumptions!$I$23,0))</f>
        <v>4</v>
      </c>
      <c r="AL11">
        <f>MAX(1, ROUNDUP('Sales and Customer Acquisition '!AL6/Assumptions!$I$23,0))</f>
        <v>4</v>
      </c>
    </row>
    <row r="12" spans="2:38" x14ac:dyDescent="0.2">
      <c r="B12" s="48" t="s">
        <v>85</v>
      </c>
      <c r="C12" s="13">
        <f>C11*Assumptions!$I$24</f>
        <v>4000</v>
      </c>
      <c r="D12" s="13">
        <f>D11*Assumptions!$I$24</f>
        <v>4000</v>
      </c>
      <c r="E12" s="13">
        <f>E11*Assumptions!$I$24</f>
        <v>4000</v>
      </c>
      <c r="F12" s="13">
        <f>F11*Assumptions!$I$24</f>
        <v>8000</v>
      </c>
      <c r="G12" s="13">
        <f>G11*Assumptions!$I$24</f>
        <v>8000</v>
      </c>
      <c r="H12" s="13">
        <f>H11*Assumptions!$I$24</f>
        <v>8000</v>
      </c>
      <c r="I12" s="13">
        <f>I11*Assumptions!$I$24</f>
        <v>8000</v>
      </c>
      <c r="J12" s="13">
        <f>J11*Assumptions!$I$24</f>
        <v>8000</v>
      </c>
      <c r="K12" s="13">
        <f>K11*Assumptions!$I$24</f>
        <v>8000</v>
      </c>
      <c r="L12" s="13">
        <f>L11*Assumptions!$I$24</f>
        <v>8000</v>
      </c>
      <c r="M12" s="13">
        <f>M11*Assumptions!$I$24</f>
        <v>8000</v>
      </c>
      <c r="N12" s="13">
        <f>N11*Assumptions!$I$24</f>
        <v>8000</v>
      </c>
      <c r="O12" s="13">
        <f>O11*Assumptions!$I$24</f>
        <v>8000</v>
      </c>
      <c r="P12" s="13">
        <f>P11*Assumptions!$I$24</f>
        <v>8000</v>
      </c>
      <c r="Q12" s="13">
        <f>Q11*Assumptions!$I$24</f>
        <v>8000</v>
      </c>
      <c r="R12" s="13">
        <f>R11*Assumptions!$I$24</f>
        <v>8000</v>
      </c>
      <c r="S12" s="13">
        <f>S11*Assumptions!$I$24</f>
        <v>8000</v>
      </c>
      <c r="T12" s="13">
        <f>T11*Assumptions!$I$24</f>
        <v>8000</v>
      </c>
      <c r="U12" s="13">
        <f>U11*Assumptions!$I$24</f>
        <v>8000</v>
      </c>
      <c r="V12" s="13">
        <f>V11*Assumptions!$I$24</f>
        <v>8000</v>
      </c>
      <c r="W12" s="13">
        <f>W11*Assumptions!$I$24</f>
        <v>12000</v>
      </c>
      <c r="X12" s="13">
        <f>X11*Assumptions!$I$24</f>
        <v>12000</v>
      </c>
      <c r="Y12" s="13">
        <f>Y11*Assumptions!$I$24</f>
        <v>12000</v>
      </c>
      <c r="Z12" s="13">
        <f>Z11*Assumptions!$I$24</f>
        <v>12000</v>
      </c>
      <c r="AA12" s="13">
        <f>AA11*Assumptions!$I$24</f>
        <v>12000</v>
      </c>
      <c r="AB12" s="13">
        <f>AB11*Assumptions!$I$24</f>
        <v>12000</v>
      </c>
      <c r="AC12" s="13">
        <f>AC11*Assumptions!$I$24</f>
        <v>12000</v>
      </c>
      <c r="AD12" s="13">
        <f>AD11*Assumptions!$I$24</f>
        <v>12000</v>
      </c>
      <c r="AE12" s="13">
        <f>AE11*Assumptions!$I$24</f>
        <v>12000</v>
      </c>
      <c r="AF12" s="13">
        <f>AF11*Assumptions!$I$24</f>
        <v>12000</v>
      </c>
      <c r="AG12" s="13">
        <f>AG11*Assumptions!$I$24</f>
        <v>12000</v>
      </c>
      <c r="AH12" s="13">
        <f>AH11*Assumptions!$I$24</f>
        <v>16000</v>
      </c>
      <c r="AI12" s="13">
        <f>AI11*Assumptions!$I$24</f>
        <v>16000</v>
      </c>
      <c r="AJ12" s="13">
        <f>AJ11*Assumptions!$I$24</f>
        <v>16000</v>
      </c>
      <c r="AK12" s="13">
        <f>AK11*Assumptions!$I$24</f>
        <v>16000</v>
      </c>
      <c r="AL12" s="13">
        <f>AL11*Assumptions!$I$24</f>
        <v>16000</v>
      </c>
    </row>
    <row r="13" spans="2:38" x14ac:dyDescent="0.2">
      <c r="B13" s="48" t="s">
        <v>86</v>
      </c>
      <c r="C13" s="13">
        <f>'Sales and Customer Acquisition '!C23*Assumptions!$I$25</f>
        <v>0</v>
      </c>
      <c r="D13" s="13">
        <f>'Sales and Customer Acquisition '!D23*Assumptions!$I$25</f>
        <v>0</v>
      </c>
      <c r="E13" s="13">
        <f>'Sales and Customer Acquisition '!E23*Assumptions!$I$25</f>
        <v>0</v>
      </c>
      <c r="F13" s="13">
        <f>'Sales and Customer Acquisition '!F23*Assumptions!$I$25</f>
        <v>0</v>
      </c>
      <c r="G13" s="13">
        <f>'Sales and Customer Acquisition '!G23*Assumptions!$I$25</f>
        <v>0</v>
      </c>
      <c r="H13" s="13">
        <f>'Sales and Customer Acquisition '!H23*Assumptions!$I$25</f>
        <v>0</v>
      </c>
      <c r="I13" s="13">
        <f>'Sales and Customer Acquisition '!I23*Assumptions!$I$25</f>
        <v>0</v>
      </c>
      <c r="J13" s="13">
        <f>'Sales and Customer Acquisition '!J23*Assumptions!$I$25</f>
        <v>0</v>
      </c>
      <c r="K13" s="13">
        <f>'Sales and Customer Acquisition '!K23*Assumptions!$I$25</f>
        <v>0</v>
      </c>
      <c r="L13" s="13">
        <f>'Sales and Customer Acquisition '!L23*Assumptions!$I$25</f>
        <v>0</v>
      </c>
      <c r="M13" s="13">
        <f>'Sales and Customer Acquisition '!M23*Assumptions!$I$25</f>
        <v>6675</v>
      </c>
      <c r="N13" s="13">
        <f>'Sales and Customer Acquisition '!N23*Assumptions!$I$25</f>
        <v>445</v>
      </c>
      <c r="O13" s="13">
        <f>'Sales and Customer Acquisition '!O23*Assumptions!$I$25</f>
        <v>445</v>
      </c>
      <c r="P13" s="13">
        <f>'Sales and Customer Acquisition '!P23*Assumptions!$I$25</f>
        <v>445</v>
      </c>
      <c r="Q13" s="13">
        <f>'Sales and Customer Acquisition '!Q23*Assumptions!$I$25</f>
        <v>445</v>
      </c>
      <c r="R13" s="13">
        <f>'Sales and Customer Acquisition '!R23*Assumptions!$I$25</f>
        <v>890</v>
      </c>
      <c r="S13" s="13">
        <f>'Sales and Customer Acquisition '!S23*Assumptions!$I$25</f>
        <v>7565</v>
      </c>
      <c r="T13" s="13">
        <f>'Sales and Customer Acquisition '!T23*Assumptions!$I$25</f>
        <v>1780</v>
      </c>
      <c r="U13" s="13">
        <f>'Sales and Customer Acquisition '!U23*Assumptions!$I$25</f>
        <v>1780</v>
      </c>
      <c r="V13" s="13">
        <f>'Sales and Customer Acquisition '!V23*Assumptions!$I$25</f>
        <v>2225</v>
      </c>
      <c r="W13" s="13">
        <f>'Sales and Customer Acquisition '!W23*Assumptions!$I$25</f>
        <v>2225</v>
      </c>
      <c r="X13" s="13">
        <f>'Sales and Customer Acquisition '!X23*Assumptions!$I$25</f>
        <v>2670</v>
      </c>
      <c r="Y13" s="13">
        <f>'Sales and Customer Acquisition '!Y23*Assumptions!$I$25</f>
        <v>9345</v>
      </c>
      <c r="Z13" s="13">
        <f>'Sales and Customer Acquisition '!Z23*Assumptions!$I$25</f>
        <v>4005</v>
      </c>
      <c r="AA13" s="13">
        <f>'Sales and Customer Acquisition '!AA23*Assumptions!$I$25</f>
        <v>4450</v>
      </c>
      <c r="AB13" s="13">
        <f>'Sales and Customer Acquisition '!AB23*Assumptions!$I$25</f>
        <v>4895</v>
      </c>
      <c r="AC13" s="13">
        <f>'Sales and Customer Acquisition '!AC23*Assumptions!$I$25</f>
        <v>12015</v>
      </c>
      <c r="AD13" s="13">
        <f>'Sales and Customer Acquisition '!AD23*Assumptions!$I$25</f>
        <v>6675</v>
      </c>
      <c r="AE13" s="13">
        <f>'Sales and Customer Acquisition '!AE23*Assumptions!$I$25</f>
        <v>7565</v>
      </c>
      <c r="AF13" s="13">
        <f>'Sales and Customer Acquisition '!AF23*Assumptions!$I$25</f>
        <v>8010</v>
      </c>
      <c r="AG13" s="13">
        <f>'Sales and Customer Acquisition '!AG23*Assumptions!$I$25</f>
        <v>15575</v>
      </c>
      <c r="AH13" s="13">
        <f>'Sales and Customer Acquisition '!AH23*Assumptions!$I$25</f>
        <v>10680</v>
      </c>
      <c r="AI13" s="13">
        <f>'Sales and Customer Acquisition '!AI23*Assumptions!$I$25</f>
        <v>12015</v>
      </c>
      <c r="AJ13" s="13">
        <f>'Sales and Customer Acquisition '!AJ23*Assumptions!$I$25</f>
        <v>20025</v>
      </c>
      <c r="AK13" s="13">
        <f>'Sales and Customer Acquisition '!AK23*Assumptions!$I$25</f>
        <v>15575</v>
      </c>
      <c r="AL13" s="13">
        <f>'Sales and Customer Acquisition '!AL23*Assumptions!$I$25</f>
        <v>17355</v>
      </c>
    </row>
    <row r="14" spans="2:38" x14ac:dyDescent="0.2">
      <c r="B14" s="44"/>
    </row>
    <row r="15" spans="2:38" x14ac:dyDescent="0.2">
      <c r="B15" s="55" t="s">
        <v>148</v>
      </c>
      <c r="C15" s="13">
        <f>Assumptions!$I$27*Assumptions!$I$26</f>
        <v>80000</v>
      </c>
      <c r="D15" s="13">
        <f>Assumptions!$I$27*Assumptions!$I$26</f>
        <v>80000</v>
      </c>
      <c r="E15" s="13">
        <f>Assumptions!$I$27*Assumptions!$I$26</f>
        <v>80000</v>
      </c>
      <c r="F15" s="13">
        <f>Assumptions!$I$27*Assumptions!$I$26</f>
        <v>80000</v>
      </c>
      <c r="G15" s="13">
        <f>Assumptions!$I$27*Assumptions!$I$26</f>
        <v>80000</v>
      </c>
      <c r="H15" s="13">
        <f>Assumptions!$I$27*Assumptions!$I$26</f>
        <v>80000</v>
      </c>
      <c r="I15" s="13">
        <f>Assumptions!$I$27*Assumptions!$I$26</f>
        <v>80000</v>
      </c>
      <c r="J15" s="13">
        <f>Assumptions!$I$27*Assumptions!$I$26</f>
        <v>80000</v>
      </c>
      <c r="K15" s="13">
        <f>Assumptions!$I$27*Assumptions!$I$26</f>
        <v>80000</v>
      </c>
      <c r="L15" s="13">
        <f>Assumptions!$I$27*Assumptions!$I$26</f>
        <v>80000</v>
      </c>
      <c r="M15" s="13">
        <f>Assumptions!$I$27*Assumptions!$I$26</f>
        <v>80000</v>
      </c>
      <c r="N15" s="13">
        <f>Assumptions!$I$27*Assumptions!$I$26</f>
        <v>80000</v>
      </c>
      <c r="O15" s="13">
        <f>Assumptions!$I$27*Assumptions!$I$26</f>
        <v>80000</v>
      </c>
      <c r="P15" s="13">
        <f>Assumptions!$I$27*Assumptions!$I$26</f>
        <v>80000</v>
      </c>
      <c r="Q15" s="13">
        <f>Assumptions!$I$27*Assumptions!$I$26</f>
        <v>80000</v>
      </c>
      <c r="R15" s="13">
        <f>Assumptions!$I$27*Assumptions!$I$26</f>
        <v>80000</v>
      </c>
      <c r="S15" s="13">
        <f>Assumptions!$I$27*Assumptions!$I$26</f>
        <v>80000</v>
      </c>
      <c r="T15" s="13">
        <f>Assumptions!$I$27*Assumptions!$I$26</f>
        <v>80000</v>
      </c>
      <c r="U15" s="13">
        <f>Assumptions!$I$27*Assumptions!$I$26</f>
        <v>80000</v>
      </c>
      <c r="V15" s="13">
        <f>Assumptions!$I$27*Assumptions!$I$26</f>
        <v>80000</v>
      </c>
      <c r="W15" s="13">
        <f>Assumptions!$I$27*Assumptions!$I$26</f>
        <v>80000</v>
      </c>
      <c r="X15" s="13">
        <f>Assumptions!$I$27*Assumptions!$I$26</f>
        <v>80000</v>
      </c>
      <c r="Y15" s="13">
        <f>Assumptions!$I$27*Assumptions!$I$26</f>
        <v>80000</v>
      </c>
      <c r="Z15" s="13">
        <f>Assumptions!$I$27*Assumptions!$I$26</f>
        <v>80000</v>
      </c>
      <c r="AA15" s="13">
        <f>Assumptions!$I$27*Assumptions!$I$26</f>
        <v>80000</v>
      </c>
      <c r="AB15" s="13">
        <f>Assumptions!$I$27*Assumptions!$I$26</f>
        <v>80000</v>
      </c>
      <c r="AC15" s="13">
        <f>Assumptions!$I$27*Assumptions!$I$26</f>
        <v>80000</v>
      </c>
      <c r="AD15" s="13">
        <f>Assumptions!$I$27*Assumptions!$I$26</f>
        <v>80000</v>
      </c>
      <c r="AE15" s="13">
        <f>Assumptions!$I$27*Assumptions!$I$26</f>
        <v>80000</v>
      </c>
      <c r="AF15" s="13">
        <f>Assumptions!$I$27*Assumptions!$I$26</f>
        <v>80000</v>
      </c>
      <c r="AG15" s="13">
        <f>Assumptions!$I$27*Assumptions!$I$26</f>
        <v>80000</v>
      </c>
      <c r="AH15" s="13">
        <f>Assumptions!$I$27*Assumptions!$I$26</f>
        <v>80000</v>
      </c>
      <c r="AI15" s="13">
        <f>Assumptions!$I$27*Assumptions!$I$26</f>
        <v>80000</v>
      </c>
      <c r="AJ15" s="13">
        <f>Assumptions!$I$27*Assumptions!$I$26</f>
        <v>80000</v>
      </c>
      <c r="AK15" s="13">
        <f>Assumptions!$I$27*Assumptions!$I$26</f>
        <v>80000</v>
      </c>
      <c r="AL15" s="13">
        <f>Assumptions!$I$27*Assumptions!$I$26</f>
        <v>80000</v>
      </c>
    </row>
    <row r="16" spans="2:38" x14ac:dyDescent="0.2">
      <c r="B16" s="55" t="s">
        <v>149</v>
      </c>
      <c r="C16" s="13">
        <f>Assumptions!$I$28*Assumptions!$I$29</f>
        <v>60000</v>
      </c>
      <c r="D16" s="13">
        <f>Assumptions!$I$28*Assumptions!$I$29</f>
        <v>60000</v>
      </c>
      <c r="E16" s="13">
        <f>Assumptions!$I$28*Assumptions!$I$29</f>
        <v>60000</v>
      </c>
      <c r="F16" s="13">
        <f>Assumptions!$I$28*Assumptions!$I$29</f>
        <v>60000</v>
      </c>
      <c r="G16" s="13">
        <f>Assumptions!$I$28*Assumptions!$I$29</f>
        <v>60000</v>
      </c>
      <c r="H16" s="13">
        <f>Assumptions!$I$28*Assumptions!$I$29</f>
        <v>60000</v>
      </c>
      <c r="I16" s="13">
        <f>Assumptions!$I$28*Assumptions!$I$29</f>
        <v>60000</v>
      </c>
      <c r="J16" s="13">
        <f>Assumptions!$I$28*Assumptions!$I$29</f>
        <v>60000</v>
      </c>
      <c r="K16" s="13">
        <f>Assumptions!$I$28*Assumptions!$I$29</f>
        <v>60000</v>
      </c>
      <c r="L16" s="13">
        <f>Assumptions!$I$28*Assumptions!$I$29</f>
        <v>60000</v>
      </c>
      <c r="M16" s="13">
        <f>Assumptions!$I$28*Assumptions!$I$29</f>
        <v>60000</v>
      </c>
      <c r="N16" s="13">
        <f>Assumptions!$I$28*Assumptions!$I$29</f>
        <v>60000</v>
      </c>
      <c r="O16" s="13">
        <f>Assumptions!$I$28*Assumptions!$I$29</f>
        <v>60000</v>
      </c>
      <c r="P16" s="13">
        <f>Assumptions!$I$28*Assumptions!$I$29</f>
        <v>60000</v>
      </c>
      <c r="Q16" s="13">
        <f>Assumptions!$I$28*Assumptions!$I$29</f>
        <v>60000</v>
      </c>
      <c r="R16" s="13">
        <f>Assumptions!$I$28*Assumptions!$I$29</f>
        <v>60000</v>
      </c>
      <c r="S16" s="13">
        <f>Assumptions!$I$28*Assumptions!$I$29</f>
        <v>60000</v>
      </c>
      <c r="T16" s="13">
        <f>Assumptions!$I$28*Assumptions!$I$29</f>
        <v>60000</v>
      </c>
      <c r="U16" s="13">
        <f>Assumptions!$I$28*Assumptions!$I$29</f>
        <v>60000</v>
      </c>
      <c r="V16" s="13">
        <f>Assumptions!$I$28*Assumptions!$I$29</f>
        <v>60000</v>
      </c>
      <c r="W16" s="13">
        <f>Assumptions!$I$28*Assumptions!$I$29</f>
        <v>60000</v>
      </c>
      <c r="X16" s="13">
        <f>Assumptions!$I$28*Assumptions!$I$29</f>
        <v>60000</v>
      </c>
      <c r="Y16" s="13">
        <f>Assumptions!$I$28*Assumptions!$I$29</f>
        <v>60000</v>
      </c>
      <c r="Z16" s="13">
        <f>Assumptions!$I$28*Assumptions!$I$29</f>
        <v>60000</v>
      </c>
      <c r="AA16" s="13">
        <f>Assumptions!$I$28*Assumptions!$I$29</f>
        <v>60000</v>
      </c>
      <c r="AB16" s="13">
        <f>Assumptions!$I$28*Assumptions!$I$29</f>
        <v>60000</v>
      </c>
      <c r="AC16" s="13">
        <f>Assumptions!$I$28*Assumptions!$I$29</f>
        <v>60000</v>
      </c>
      <c r="AD16" s="13">
        <f>Assumptions!$I$28*Assumptions!$I$29</f>
        <v>60000</v>
      </c>
      <c r="AE16" s="13">
        <f>Assumptions!$I$28*Assumptions!$I$29</f>
        <v>60000</v>
      </c>
      <c r="AF16" s="13">
        <f>Assumptions!$I$28*Assumptions!$I$29</f>
        <v>60000</v>
      </c>
      <c r="AG16" s="13">
        <f>Assumptions!$I$28*Assumptions!$I$29</f>
        <v>60000</v>
      </c>
      <c r="AH16" s="13">
        <f>Assumptions!$I$28*Assumptions!$I$29</f>
        <v>60000</v>
      </c>
      <c r="AI16" s="13">
        <f>Assumptions!$I$28*Assumptions!$I$29</f>
        <v>60000</v>
      </c>
      <c r="AJ16" s="13">
        <f>Assumptions!$I$28*Assumptions!$I$29</f>
        <v>60000</v>
      </c>
      <c r="AK16" s="13">
        <f>Assumptions!$I$28*Assumptions!$I$29</f>
        <v>60000</v>
      </c>
      <c r="AL16" s="13">
        <f>Assumptions!$I$28*Assumptions!$I$29</f>
        <v>60000</v>
      </c>
    </row>
    <row r="17" spans="2:38" x14ac:dyDescent="0.2">
      <c r="B17" s="55" t="s">
        <v>150</v>
      </c>
      <c r="C17" s="13">
        <f>Assumptions!$I$30*Assumptions!$I$31</f>
        <v>30000</v>
      </c>
      <c r="D17" s="13">
        <f>Assumptions!$I$30*Assumptions!$I$31</f>
        <v>30000</v>
      </c>
      <c r="E17" s="13">
        <f>Assumptions!$I$30*Assumptions!$I$31</f>
        <v>30000</v>
      </c>
      <c r="F17" s="13">
        <f>Assumptions!$I$30*Assumptions!$I$31</f>
        <v>30000</v>
      </c>
      <c r="G17" s="13">
        <f>Assumptions!$I$30*Assumptions!$I$31</f>
        <v>30000</v>
      </c>
      <c r="H17" s="13">
        <f>Assumptions!$I$30*Assumptions!$I$31</f>
        <v>30000</v>
      </c>
      <c r="I17" s="13">
        <f>Assumptions!$I$30*Assumptions!$I$31</f>
        <v>30000</v>
      </c>
      <c r="J17" s="13">
        <f>Assumptions!$I$30*Assumptions!$I$31</f>
        <v>30000</v>
      </c>
      <c r="K17" s="13">
        <f>Assumptions!$I$30*Assumptions!$I$31</f>
        <v>30000</v>
      </c>
      <c r="L17" s="13">
        <f>Assumptions!$I$30*Assumptions!$I$31</f>
        <v>30000</v>
      </c>
      <c r="M17" s="13">
        <f>Assumptions!$I$30*Assumptions!$I$31</f>
        <v>30000</v>
      </c>
      <c r="N17" s="13">
        <f>Assumptions!$I$30*Assumptions!$I$31</f>
        <v>30000</v>
      </c>
      <c r="O17" s="13">
        <f>Assumptions!$I$30*Assumptions!$I$31</f>
        <v>30000</v>
      </c>
      <c r="P17" s="13">
        <f>Assumptions!$I$30*Assumptions!$I$31</f>
        <v>30000</v>
      </c>
      <c r="Q17" s="13">
        <f>Assumptions!$I$30*Assumptions!$I$31</f>
        <v>30000</v>
      </c>
      <c r="R17" s="13">
        <f>Assumptions!$I$30*Assumptions!$I$31</f>
        <v>30000</v>
      </c>
      <c r="S17" s="13">
        <f>Assumptions!$I$30*Assumptions!$I$31</f>
        <v>30000</v>
      </c>
      <c r="T17" s="13">
        <f>Assumptions!$I$30*Assumptions!$I$31</f>
        <v>30000</v>
      </c>
      <c r="U17" s="13">
        <f>Assumptions!$I$30*Assumptions!$I$31</f>
        <v>30000</v>
      </c>
      <c r="V17" s="13">
        <f>Assumptions!$I$30*Assumptions!$I$31</f>
        <v>30000</v>
      </c>
      <c r="W17" s="13">
        <f>Assumptions!$I$30*Assumptions!$I$31</f>
        <v>30000</v>
      </c>
      <c r="X17" s="13">
        <f>Assumptions!$I$30*Assumptions!$I$31</f>
        <v>30000</v>
      </c>
      <c r="Y17" s="13">
        <f>Assumptions!$I$30*Assumptions!$I$31</f>
        <v>30000</v>
      </c>
      <c r="Z17" s="13">
        <f>Assumptions!$I$30*Assumptions!$I$31</f>
        <v>30000</v>
      </c>
      <c r="AA17" s="13">
        <f>Assumptions!$I$30*Assumptions!$I$31</f>
        <v>30000</v>
      </c>
      <c r="AB17" s="13">
        <f>Assumptions!$I$30*Assumptions!$I$31</f>
        <v>30000</v>
      </c>
      <c r="AC17" s="13">
        <f>Assumptions!$I$30*Assumptions!$I$31</f>
        <v>30000</v>
      </c>
      <c r="AD17" s="13">
        <f>Assumptions!$I$30*Assumptions!$I$31</f>
        <v>30000</v>
      </c>
      <c r="AE17" s="13">
        <f>Assumptions!$I$30*Assumptions!$I$31</f>
        <v>30000</v>
      </c>
      <c r="AF17" s="13">
        <f>Assumptions!$I$30*Assumptions!$I$31</f>
        <v>30000</v>
      </c>
      <c r="AG17" s="13">
        <f>Assumptions!$I$30*Assumptions!$I$31</f>
        <v>30000</v>
      </c>
      <c r="AH17" s="13">
        <f>Assumptions!$I$30*Assumptions!$I$31</f>
        <v>30000</v>
      </c>
      <c r="AI17" s="13">
        <f>Assumptions!$I$30*Assumptions!$I$31</f>
        <v>30000</v>
      </c>
      <c r="AJ17" s="13">
        <f>Assumptions!$I$30*Assumptions!$I$31</f>
        <v>30000</v>
      </c>
      <c r="AK17" s="13">
        <f>Assumptions!$I$30*Assumptions!$I$31</f>
        <v>30000</v>
      </c>
      <c r="AL17" s="13">
        <f>Assumptions!$I$30*Assumptions!$I$31</f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PnL</vt:lpstr>
      <vt:lpstr>Sales and Customer Acquisition </vt:lpstr>
      <vt:lpstr>COGS</vt:lpstr>
      <vt:lpstr>OpEx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Shalva Chorgoliani</dc:creator>
  <cp:lastModifiedBy>Olha Bondar</cp:lastModifiedBy>
  <dcterms:created xsi:type="dcterms:W3CDTF">2015-06-05T18:17:20Z</dcterms:created>
  <dcterms:modified xsi:type="dcterms:W3CDTF">2026-04-10T14:04:53Z</dcterms:modified>
</cp:coreProperties>
</file>